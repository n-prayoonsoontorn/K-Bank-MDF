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hidePivotFieldList="1"/>
  <xr:revisionPtr revIDLastSave="0" documentId="8_{30023E77-807B-4ACF-A4CB-ECD08905F1C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BR_pullDB" sheetId="1" r:id="rId1"/>
    <sheet name="UAT Test" sheetId="2" r:id="rId2"/>
    <sheet name="Detail1" sheetId="18" r:id="rId3"/>
    <sheet name="Detail2" sheetId="19" r:id="rId4"/>
    <sheet name="Status" sheetId="17" r:id="rId5"/>
    <sheet name="passed" sheetId="16" r:id="rId6"/>
    <sheet name="Batch" sheetId="13" r:id="rId7"/>
    <sheet name="Summary" sheetId="10" state="hidden" r:id="rId8"/>
    <sheet name="Thai encoding" sheetId="5" r:id="rId9"/>
    <sheet name="Sheet1" sheetId="6" r:id="rId10"/>
    <sheet name="KAS" sheetId="11" r:id="rId11"/>
    <sheet name="Run Job status" sheetId="7" r:id="rId12"/>
    <sheet name="Sheet2" sheetId="8" r:id="rId13"/>
  </sheets>
  <definedNames>
    <definedName name="_xlnm._FilterDatabase" localSheetId="0" hidden="1">CBR_pullDB!$A$3:$E$3</definedName>
    <definedName name="_xlnm._FilterDatabase" localSheetId="8" hidden="1">'Thai encoding'!$A$1:$F$1</definedName>
    <definedName name="_xlnm._FilterDatabase" localSheetId="10" hidden="1">KAS!$A$1:$K$1</definedName>
    <definedName name="_xlnm._FilterDatabase" localSheetId="1" hidden="1">'UAT Test'!$A$1:$AT$1</definedName>
  </definedNames>
  <calcPr calcId="191028"/>
  <pivotCaches>
    <pivotCache cacheId="9657" r:id="rId14"/>
    <pivotCache cacheId="9658" r:id="rId15"/>
    <pivotCache cacheId="965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9" l="1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22" i="19"/>
  <c r="L3" i="2"/>
  <c r="L4" i="2"/>
  <c r="L5" i="2"/>
  <c r="L6" i="2"/>
  <c r="L7" i="2"/>
  <c r="L8" i="2"/>
  <c r="L9" i="2"/>
  <c r="L10" i="2"/>
  <c r="L11" i="2"/>
  <c r="L12" i="2"/>
  <c r="L13" i="2"/>
  <c r="L58" i="2"/>
  <c r="L15" i="2"/>
  <c r="L16" i="2"/>
  <c r="L17" i="2"/>
  <c r="L39" i="2"/>
  <c r="L19" i="2"/>
  <c r="L20" i="2"/>
  <c r="L21" i="2"/>
  <c r="L22" i="2"/>
  <c r="L23" i="2"/>
  <c r="L14" i="2"/>
  <c r="L86" i="2"/>
  <c r="L26" i="2"/>
  <c r="L18" i="2"/>
  <c r="L28" i="2"/>
  <c r="L29" i="2"/>
  <c r="L30" i="2"/>
  <c r="L31" i="2"/>
  <c r="L24" i="2"/>
  <c r="L33" i="2"/>
  <c r="L34" i="2"/>
  <c r="L35" i="2"/>
  <c r="L36" i="2"/>
  <c r="L37" i="2"/>
  <c r="L38" i="2"/>
  <c r="L25" i="2"/>
  <c r="L40" i="2"/>
  <c r="L27" i="2"/>
  <c r="L3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41" i="2"/>
  <c r="L59" i="2"/>
  <c r="L60" i="2"/>
  <c r="L42" i="2"/>
  <c r="L61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62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2" i="2"/>
  <c r="K3" i="2"/>
  <c r="K4" i="2"/>
  <c r="K5" i="2"/>
  <c r="K6" i="2"/>
  <c r="K7" i="2"/>
  <c r="K8" i="2"/>
  <c r="K9" i="2"/>
  <c r="K10" i="2"/>
  <c r="K11" i="2"/>
  <c r="K12" i="2"/>
  <c r="K13" i="2"/>
  <c r="K58" i="2"/>
  <c r="K15" i="2"/>
  <c r="K16" i="2"/>
  <c r="K17" i="2"/>
  <c r="K39" i="2"/>
  <c r="K19" i="2"/>
  <c r="K20" i="2"/>
  <c r="K21" i="2"/>
  <c r="K22" i="2"/>
  <c r="K23" i="2"/>
  <c r="K14" i="2"/>
  <c r="K86" i="2"/>
  <c r="K26" i="2"/>
  <c r="K18" i="2"/>
  <c r="K28" i="2"/>
  <c r="K29" i="2"/>
  <c r="K30" i="2"/>
  <c r="K31" i="2"/>
  <c r="K24" i="2"/>
  <c r="K33" i="2"/>
  <c r="K34" i="2"/>
  <c r="K35" i="2"/>
  <c r="K36" i="2"/>
  <c r="K37" i="2"/>
  <c r="K38" i="2"/>
  <c r="K25" i="2"/>
  <c r="K40" i="2"/>
  <c r="K27" i="2"/>
  <c r="K3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41" i="2"/>
  <c r="K59" i="2"/>
  <c r="K60" i="2"/>
  <c r="K42" i="2"/>
  <c r="K61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62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2" i="2"/>
  <c r="C21" i="5"/>
  <c r="C22" i="5"/>
  <c r="C23" i="5"/>
  <c r="C24" i="5"/>
  <c r="C20" i="5"/>
  <c r="K2" i="2"/>
  <c r="D14" i="11"/>
  <c r="H14" i="11"/>
  <c r="D3" i="11"/>
  <c r="H3" i="11" s="1"/>
  <c r="D4" i="11"/>
  <c r="H4" i="11" s="1"/>
  <c r="D5" i="11"/>
  <c r="D6" i="11"/>
  <c r="H6" i="11" s="1"/>
  <c r="D7" i="11"/>
  <c r="H7" i="11" s="1"/>
  <c r="D8" i="11"/>
  <c r="H8" i="11" s="1"/>
  <c r="D9" i="11"/>
  <c r="H9" i="11" s="1"/>
  <c r="D10" i="11"/>
  <c r="H10" i="11" s="1"/>
  <c r="D11" i="11"/>
  <c r="H11" i="11" s="1"/>
  <c r="D12" i="11"/>
  <c r="H12" i="11" s="1"/>
  <c r="D13" i="11"/>
  <c r="H13" i="11" s="1"/>
  <c r="D15" i="11"/>
  <c r="H15" i="11" s="1"/>
  <c r="D16" i="11"/>
  <c r="H16" i="11" s="1"/>
  <c r="D2" i="11"/>
  <c r="H2" i="11" s="1"/>
  <c r="C11" i="5"/>
  <c r="C16" i="5"/>
  <c r="C3" i="5"/>
  <c r="C4" i="5"/>
  <c r="C5" i="5"/>
  <c r="C6" i="5"/>
  <c r="C7" i="5"/>
  <c r="C8" i="5"/>
  <c r="C9" i="5"/>
  <c r="C10" i="5"/>
  <c r="C12" i="5"/>
  <c r="C13" i="5"/>
  <c r="C14" i="5"/>
  <c r="C15" i="5"/>
  <c r="C18" i="5"/>
  <c r="C19" i="5"/>
  <c r="C2" i="5"/>
  <c r="H5" i="11" l="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tc={AFA54205-9C28-4B05-9073-505E17F04B69}</author>
  </authors>
  <commentList>
    <comment ref="B84" authorId="0" shapeId="0" xr:uid="{AFA54205-9C28-4B05-9073-505E17F04B69}">
      <text>
        <t>[Threaded comment]
Your version of Excel allows you to read this threaded comment; however, any edits to it will get removed if the file is opened in a newer version of Excel. Learn more: https://go.microsoft.com/fwlink/?linkid=870924
Comment:
    to update JRS</t>
      </text>
    </comment>
  </commentList>
</comments>
</file>

<file path=xl/sharedStrings.xml><?xml version="1.0" encoding="utf-8"?>
<sst xmlns="http://schemas.openxmlformats.org/spreadsheetml/2006/main" count="2986" uniqueCount="836">
  <si>
    <t>Pull Database -  follow KBMF source</t>
  </si>
  <si>
    <t> </t>
  </si>
  <si>
    <t>MDP Area Name</t>
  </si>
  <si>
    <t>Persist Table Name</t>
  </si>
  <si>
    <t>Test Status</t>
  </si>
  <si>
    <t>Remark</t>
  </si>
  <si>
    <t>Action</t>
  </si>
  <si>
    <t>status CBR</t>
  </si>
  <si>
    <t>dgtl_fctrng</t>
  </si>
  <si>
    <t>persist_dgtl_fctrng.dgtl_fctrng_v_purref</t>
  </si>
  <si>
    <t>Passed</t>
  </si>
  <si>
    <t>persist_dgtl_fctrng.dgtl_fctrng_v_clientdebtor</t>
  </si>
  <si>
    <t>persist_dgtl_fctrng.dgtl_fctrng_v_product</t>
  </si>
  <si>
    <t>persist_dgtl_fctrng.dgtl_fctrng_v_company</t>
  </si>
  <si>
    <t>persist_dgtl_fctrng.dgtl_fctrng_v_clientlimit</t>
  </si>
  <si>
    <t>persist_dgtl_fctrng.dgtl_fctrng_v_cis</t>
  </si>
  <si>
    <t>persist_dgtl_fctrng.dgtl_fctrng_v_interestspread</t>
  </si>
  <si>
    <t>scf</t>
  </si>
  <si>
    <t>persist_scf.scf_vw_sct_book_loan</t>
  </si>
  <si>
    <t>persist_scf.scf_vw_rdt_scf_cl</t>
  </si>
  <si>
    <t>persist_scf.scf_vw_cm_fee_structure</t>
  </si>
  <si>
    <t>Failed</t>
  </si>
  <si>
    <r>
      <rPr>
        <sz val="11"/>
        <color rgb="FFFF0000"/>
        <rFont val="Aptos Narrow"/>
        <scheme val="minor"/>
      </rPr>
      <t>Data file (47) / KBMF (37)</t>
    </r>
    <r>
      <rPr>
        <sz val="11"/>
        <color rgb="FF000000"/>
        <rFont val="Aptos Narrow"/>
        <scheme val="minor"/>
      </rPr>
      <t xml:space="preserve"> / CBR EBAN (37)
['strstep', 'strchargefeedate', 'strremark', 'strfeecodebahtnet', 'decfeeamtsbahtnet', 'decfeeamtdbahtnet', 'strchargefeeforbahtnet', 'strfeetypebahtnet', 'strefftdatebahtnet', 'stractiveflagbahtnet'] </t>
    </r>
  </si>
  <si>
    <t>EBAN</t>
  </si>
  <si>
    <t>persist_scf.scf_vw_scm_acct</t>
  </si>
  <si>
    <t>persist_scf.scf_trading</t>
  </si>
  <si>
    <t>persist_scf.scf_customer</t>
  </si>
  <si>
    <t>ACN
field dup</t>
  </si>
  <si>
    <t>persist_scf.scf_product_map</t>
  </si>
  <si>
    <t>persist_scf.scf_vw_rdt_scf_cl_acct</t>
  </si>
  <si>
    <t>persist_scf.scf_trading_acct</t>
  </si>
  <si>
    <t>ud</t>
  </si>
  <si>
    <t>persist_ud.ud_vw_t_su_sub_uh_ful</t>
  </si>
  <si>
    <t>persist_ud.ud_vw_kgroup_sidetexttbl</t>
  </si>
  <si>
    <t>persist_ud.ud_vw_fi_fnd_inf_ful</t>
  </si>
  <si>
    <t>persist_ud.ud_vw_flt_rl_sub_bal_enq</t>
  </si>
  <si>
    <r>
      <rPr>
        <sz val="11"/>
        <color rgb="FF00B050"/>
        <rFont val="Aptos Narrow"/>
        <scheme val="minor"/>
      </rPr>
      <t>Data file 16 columns / KBMF 16</t>
    </r>
    <r>
      <rPr>
        <sz val="11"/>
        <color rgb="FF000000"/>
        <rFont val="Aptos Narrow"/>
        <scheme val="minor"/>
      </rPr>
      <t xml:space="preserve"> / CBR EBAN 15 columns
- app_date</t>
    </r>
  </si>
  <si>
    <t>ACN
app_date &gt;&gt; src_pos_dt</t>
  </si>
  <si>
    <t>persist_ud.ud_vw_t_uh_uh_ful</t>
  </si>
  <si>
    <t>persist_ud.ud_vw_flt_div_pmt_inc</t>
  </si>
  <si>
    <t>persist_ud.ud_vw_transactionext</t>
  </si>
  <si>
    <t>persist_ud.ud_vw_transactioneodext</t>
  </si>
  <si>
    <t>persist_ud.ud_vw_flt_dp_div_cert_inc</t>
  </si>
  <si>
    <t>Area Name</t>
  </si>
  <si>
    <t>Integration Approach</t>
  </si>
  <si>
    <t>SIT Status</t>
  </si>
  <si>
    <t>pos_dt</t>
  </si>
  <si>
    <t>SIT issue</t>
  </si>
  <si>
    <t>CBR revise</t>
  </si>
  <si>
    <t>Issues</t>
  </si>
  <si>
    <t>Note</t>
  </si>
  <si>
    <t>Owner</t>
  </si>
  <si>
    <t>Batch2</t>
  </si>
  <si>
    <t>Batch3</t>
  </si>
  <si>
    <t>passed</t>
  </si>
  <si>
    <t>gts</t>
  </si>
  <si>
    <t>persist_gts.gts_dbttnrel</t>
  </si>
  <si>
    <t>Plan B: Source File (EBAN)</t>
  </si>
  <si>
    <t>Not Start</t>
  </si>
  <si>
    <t>2024-03-20</t>
  </si>
  <si>
    <t>Empty file</t>
  </si>
  <si>
    <t>source (EBAN)</t>
  </si>
  <si>
    <t>P'Fon</t>
  </si>
  <si>
    <t>kplus</t>
  </si>
  <si>
    <t>persist_kplus.kplus_view_jmobileacctcard_log</t>
  </si>
  <si>
    <t>Plan B: EBAN Extraction File (Push)</t>
  </si>
  <si>
    <t>[1-April] 
EBAN confirmed that on EBAN production didn't have null value for fields ''relateacctcard' and 'mobileno'
Test result : TS08 will be failed
[28-Mar] 
EBAN confirmed that on EBAN production didn't have null value for 'mobileno'
TS08: Mandatory null
 ['relateacctcard', 'mobileno']</t>
  </si>
  <si>
    <t>Pending : relateacctcard (AR_ID EBAN set null) // 
Action: Data source sent with encrypt then CBR to update spec</t>
  </si>
  <si>
    <t>New Requirement (Decrypt some record)
Mandatory null</t>
  </si>
  <si>
    <t>[1-April]
Source (EBAN)
CBR</t>
  </si>
  <si>
    <t>Keaw</t>
  </si>
  <si>
    <t>trade_na</t>
  </si>
  <si>
    <t>persist_trade_na.trade_na_lcr070</t>
  </si>
  <si>
    <r>
      <rPr>
        <sz val="11"/>
        <color rgb="FF000000"/>
        <rFont val="Aptos Narrow"/>
        <scheme val="minor"/>
      </rPr>
      <t xml:space="preserve">[28-Mar] data in date column is not correct as format </t>
    </r>
    <r>
      <rPr>
        <sz val="11"/>
        <color rgb="FFFF0000"/>
        <rFont val="Aptos Narrow"/>
        <scheme val="minor"/>
      </rPr>
      <t xml:space="preserve">=&gt; Pending source to confirm date data
</t>
    </r>
    <r>
      <rPr>
        <sz val="11"/>
        <color rgb="FF000000"/>
        <rFont val="Aptos Narrow"/>
        <scheme val="minor"/>
      </rPr>
      <t xml:space="preserve">
[26-Mar]
</t>
    </r>
    <r>
      <rPr>
        <b/>
        <sz val="11"/>
        <color rgb="FF000000"/>
        <rFont val="Aptos Narrow"/>
        <scheme val="minor"/>
      </rPr>
      <t xml:space="preserve">Mandatory null
</t>
    </r>
    <r>
      <rPr>
        <sz val="11"/>
        <color rgb="FF000000"/>
        <rFont val="Aptos Narrow"/>
        <scheme val="minor"/>
      </rPr>
      <t xml:space="preserve"> ['lcacno', 'lclsrt', 'lcddte', 'lcinfg', 'lccndt', 'lcrvdt', 'lcspty', 'lcrspd']
CBR  incorrect date format - ['lcvdte','lcddte']
Spec - yyyyMMdd
data file - yyMMdd
</t>
    </r>
    <r>
      <rPr>
        <sz val="11"/>
        <color rgb="FFC00000"/>
        <rFont val="Aptos Narrow"/>
        <scheme val="minor"/>
      </rPr>
      <t>TS12 unknown date format - ['lccndt', 'lcrvdt'] =&gt; Pending source to confirm date data
Source send all null, suspect that it might be wrong format as the above 2 field</t>
    </r>
  </si>
  <si>
    <t>[28-Mar] Updated date format  ['lcvdte','lcddte'] yyMMdd to be as data file =&gt; Fixed
[25-Mar] Update source datasize number (added precision) =&gt; Fixed</t>
  </si>
  <si>
    <t>Mismatch source data format
Mandatory null</t>
  </si>
  <si>
    <t>Kaew</t>
  </si>
  <si>
    <t>pcb_loan</t>
  </si>
  <si>
    <t>persist_pcb_loan.pcb_loan_common_product_type</t>
  </si>
  <si>
    <t>[1-April] fw target Wed 3-April
[27-Mar] Framework need enhancement on header or tailor record has column more than body record</t>
  </si>
  <si>
    <t>Framework</t>
  </si>
  <si>
    <t>Framework need enhances</t>
  </si>
  <si>
    <t>FW</t>
  </si>
  <si>
    <t>cardlink</t>
  </si>
  <si>
    <t>persist_cardlink.cardlink_kb1dh005_kbbcrd</t>
  </si>
  <si>
    <t>Plan B: Source File (DIH)</t>
  </si>
  <si>
    <t>[27-Mar] source 74| raw 71</t>
  </si>
  <si>
    <t>Mismatch source data layout</t>
  </si>
  <si>
    <t>source</t>
  </si>
  <si>
    <t>persist_cardlink.cardlink_kb1dh003_cpbcus</t>
  </si>
  <si>
    <t>[27-Mar] source 113| raw 111</t>
  </si>
  <si>
    <t>persist_cardlink.cardlink_kb1dh006_kbbcus</t>
  </si>
  <si>
    <t>[27-Mar] source 35| raw 28</t>
  </si>
  <si>
    <t>persist_cardlink.cardlink_kb1dh031_cc1d583b</t>
  </si>
  <si>
    <t>[27-Mar] Source is fixed length file. Config is set to be delimited</t>
  </si>
  <si>
    <t>delimited</t>
  </si>
  <si>
    <t>ACN</t>
  </si>
  <si>
    <t>[1-April]
CBR</t>
  </si>
  <si>
    <t>Kaew
M</t>
  </si>
  <si>
    <t>persist_cardlink.cardlink_kb1dh007_cpahf</t>
  </si>
  <si>
    <t>[27-Mar] source 21 | raw 20</t>
  </si>
  <si>
    <t>persist_cardlink.cardlink_kb1dh011_cc1d2027</t>
  </si>
  <si>
    <t>[27-Mar] Fixed length mapping is not correct, 
ref - INGT_SIT_0073
https://kasikornbankgroup.sharepoint.com/:x:/s/DocumentRepository/Data%20-%20Analytics/EVNQm3Jxo0xBlN_XYjolql0Bsq4FIiqlOg11xdBTKDqPqQ?e=BCxCeG</t>
  </si>
  <si>
    <t>offset</t>
  </si>
  <si>
    <t>Mismatch source data format</t>
  </si>
  <si>
    <t>Plan B: Pull DB</t>
  </si>
  <si>
    <r>
      <rPr>
        <sz val="11"/>
        <color rgb="FF000000"/>
        <rFont val="Aptos Narrow"/>
        <scheme val="minor"/>
      </rPr>
      <t xml:space="preserve">Mismatch data layout
- </t>
    </r>
    <r>
      <rPr>
        <u/>
        <sz val="11"/>
        <color rgb="FF000000"/>
        <rFont val="Aptos Narrow"/>
        <scheme val="minor"/>
      </rPr>
      <t>Data source 85 | CBR EBAN 65</t>
    </r>
    <r>
      <rPr>
        <sz val="11"/>
        <color rgb="FF000000"/>
        <rFont val="Aptos Narrow"/>
        <scheme val="minor"/>
      </rPr>
      <t>| KBMF 78 (field in KBMF mostly not match with data source)
&gt;&gt; agreed to align with EBAN CBR 65 fields (diff 20 fields)
Data source schema mismatches with the target table, missing the columns (data file not have): shortname, regaddr1, regaddr2, regaddr3, regzip, contactaddr1, contactaddr2, contactaddr3, contactzip, taxaddr1, taxaddr2, taxaddr3, taxzip, tel, fax, email, website, officer1, telo1, officer2, telo2, taxid, regid, regdate, regcap, paidcap, mbankcode, mbankname, mbranchcode, mbranchname, macctno, macctname, bankcode, bankname, branchcode, branchname, acctno, acctname, rbankcode, rbankname, rbranchcode, rbranchname, racctno, racctname, product, marketing, controllimit, agrno, agrdate, admissionfee, interestcode, interestspread, minfee, penalty, penaltyrate, repaymentday, recourse</t>
    </r>
  </si>
  <si>
    <r>
      <rPr>
        <sz val="11"/>
        <color rgb="FFFF0000"/>
        <rFont val="Aptos Narrow"/>
        <scheme val="minor"/>
      </rPr>
      <t xml:space="preserve">[28-Mar] EBAN team to recheck CBR file (เนื่องจาก column ต่างกันเยอะเกินไป)
</t>
    </r>
    <r>
      <rPr>
        <sz val="11"/>
        <color rgb="FF000000"/>
        <rFont val="Aptos Narrow"/>
        <scheme val="minor"/>
      </rPr>
      <t xml:space="preserve">[28-Mar] 
Updated CBR MDP to align with CBR EBAN = 65
Pending to confirm
1. อิงตาม CBR ไม่มี date format ให้อ้างอิง =&gt; สามารถอิงจาก datafile ได้ไหม
2. มี field ใน CBR - 2 field อยู่รวมกันเช่น ApproveDate ApproveTime =&gt;  ถ้าแยกคอลัมน์จะไม่ทราบ datasize/datatype สามารถอิงจาก datafile ได้ไหม
[22-Mar]  EBAN team confirmed to align table structure by </t>
    </r>
    <r>
      <rPr>
        <b/>
        <sz val="11"/>
        <color rgb="FF00B050"/>
        <rFont val="Aptos Narrow"/>
        <scheme val="minor"/>
      </rPr>
      <t>CBR EBAN 65 fields</t>
    </r>
    <r>
      <rPr>
        <sz val="11"/>
        <color rgb="FFFF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(diff with data 20 fields)</t>
    </r>
  </si>
  <si>
    <t>[1 April]
init
spec</t>
  </si>
  <si>
    <t>persist_gts.gts_kbgt_loan_outstanding</t>
  </si>
  <si>
    <t>[1-Apr] EBAN confirmed that on EBAN production have null value for fields 'center_code', 'nxt_int_pymt_dt', 'ppymt_f'
Test result : TS08 will be failed
TS08: Mandatory null
 ['maturity_date', 'due_date', 'center_code', 'nxt_int_pymt_dt', 'ppymt_f']
Mismatch data layout (data file no header)
Data source 159 /KBMF 159/CBR EBAN 157
Update CBR MDP to Align with KBMF</t>
  </si>
  <si>
    <t>[28-Mar] Updated CBR to align with new KBMF from EBAN team 159 fields
[27-Mar] EBAN send new version of KBMF (KBMF-Batch_NTF_Loan_Outstanding_DIH_v0.0.36_20240322)</t>
  </si>
  <si>
    <t>persist_gts.gts_kbgt_limit_allocated</t>
  </si>
  <si>
    <t>Mismatch data layout with spec (data file incorrect sequence)
- data file no header
- column seq 21 = updated_date</t>
  </si>
  <si>
    <t>[1-Apr] 
- Enhance TS05: NUMERIC_10,7
- EBAN team provided new KBMF =&gt; Update CBR as new KBMF
[28-Mar] Pending EBAN Team to update new CBR
check ใน CBR EBAN seq21 = issue_date, seq22 = update_date</t>
  </si>
  <si>
    <t>[1 April] 
Investigate</t>
  </si>
  <si>
    <t>Tee</t>
  </si>
  <si>
    <t>persist_kplus.kplus_jmobileactlog_log</t>
  </si>
  <si>
    <t>Ready to execute</t>
  </si>
  <si>
    <r>
      <rPr>
        <sz val="11"/>
        <color rgb="FF000000"/>
        <rFont val="Calibri"/>
      </rPr>
      <t xml:space="preserve">Mismatch data layout
- Data source 31| CBR EBAN(Ref) 26| KBMF 26
[29-Mar] EBAN confirmed to use CBR_V_MB_ACTN_LOG_v.1.8.xlsx (Tab: Request Field source 509) and exclude 5 additional field by using full column name from KBMF EBAN IN
</t>
    </r>
    <r>
      <rPr>
        <b/>
        <sz val="11"/>
        <color rgb="FF000000"/>
        <rFont val="Calibri"/>
      </rPr>
      <t xml:space="preserve">Src column name 
</t>
    </r>
    <r>
      <rPr>
        <sz val="11"/>
        <color rgb="FF000000"/>
        <rFont val="Calibri"/>
      </rPr>
      <t>LogID|TranDateTime|TranDesc|MobileNo|MobileOperator|CurrentAccountNo|SavingAccountNo|CardNoEncrypt|CardType|Language|OTP|PIN|UpgradeFlag|ThirdFundTransferFlag|ProductCode|Channel|Location|UserName|ResponseCode|Remark|UpdateType|OldUpdateValue|NewUpdateValue|IPAddress|Latitude|Longitude|AdditionalData1|AdditionalData2|AdditionalData3|AdditionalData4|AdditionalData5
ValueError: Data source schema mismatches with the target table, missing the columns: cardno</t>
    </r>
  </si>
  <si>
    <r>
      <rPr>
        <b/>
        <sz val="11"/>
        <color rgb="FF000000"/>
        <rFont val="Calibri"/>
      </rPr>
      <t xml:space="preserve">[29-Mar Saranchai S.] Completed Revise CBR
</t>
    </r>
    <r>
      <rPr>
        <sz val="11"/>
        <color rgb="FF000000"/>
        <rFont val="Calibri"/>
      </rPr>
      <t xml:space="preserve">
[29-Mar] EBAN confirmed to use CBR_V_MB_ACTN_LOG_v.1.8.xlsx (Tab: Request Field source 509)</t>
    </r>
  </si>
  <si>
    <t>persist_kplus.kplus_actlog_qlocal</t>
  </si>
  <si>
    <r>
      <rPr>
        <sz val="11"/>
        <color rgb="FF000000"/>
        <rFont val="Calibri"/>
      </rPr>
      <t xml:space="preserve">Mismatch data layout
- Data source 31| CBR EBAN(Ref) 26| KBMF 26
[29-Mar] EBAN pending to confirm using CBR_V_MB_ACTN_LOG_v.1.8.xlsx (Tab: Request Field source xxx) and include 5 additional field by using full column name from KBMF EBAN IN
Mismatch data layout src 31/ raw 26/ persist 26
</t>
    </r>
    <r>
      <rPr>
        <b/>
        <sz val="11"/>
        <color rgb="FF000000"/>
        <rFont val="Calibri"/>
      </rPr>
      <t xml:space="preserve">Src column name 
</t>
    </r>
    <r>
      <rPr>
        <sz val="11"/>
        <color rgb="FF000000"/>
        <rFont val="Calibri"/>
      </rPr>
      <t>LogID|TranDateTime|TranDesc|MobileNo|MobileOperator|CurrentAccountNo|SavingAccountNo|CardNoEncrypt|CardType|Language|OTP|PIN|UpgradeFlag|ThirdFundTransferFlag|ProductCode|Channel|Location|UserName|ResponseCode|Remark|UpdateType|OldUpdateValue|NewUpdateValue|IPAddress|Latitude|Longitude|AdditionalData1|AdditionalData2|AdditionalData3|AdditionalData4|AdditionalData5
TS08: Mandatory null
['logid']
ValueError: Data source schema mismatches with the target table, missing the columns: cardno</t>
    </r>
  </si>
  <si>
    <r>
      <rPr>
        <sz val="11"/>
        <color rgb="FF000000"/>
        <rFont val="Calibri"/>
      </rPr>
      <t xml:space="preserve">[28-Mar Saranchai S.] </t>
    </r>
    <r>
      <rPr>
        <sz val="11"/>
        <color rgb="FFFF0000"/>
        <rFont val="Calibri"/>
      </rPr>
      <t xml:space="preserve">Pending P' Jo to confirm CBR reference
</t>
    </r>
    <r>
      <rPr>
        <sz val="11"/>
        <color rgb="FF000000"/>
        <rFont val="Calibri"/>
      </rPr>
      <t>Revise CBR: add column AdditionalData1,AdditionalData2,AdditionalData3,AdditionalData4,AdditionalData5</t>
    </r>
  </si>
  <si>
    <t>Mismatch source data layout + Mandatory null</t>
  </si>
  <si>
    <t>ks</t>
  </si>
  <si>
    <t>persist_ks.ks_fundportfolio</t>
  </si>
  <si>
    <t>[29-Mar]
TS04: column name change src_pos_dt</t>
  </si>
  <si>
    <t>Due to the column name change from as_of_dt to src_pos_dt
Test result : TS04 will be failed</t>
  </si>
  <si>
    <t>mx</t>
  </si>
  <si>
    <t>persist_mx.mx_src_murx_deal_ar</t>
  </si>
  <si>
    <t>[29-Mar Warm last message] 
TS04
Error column name posn_dt -&gt; src_pos_dt
TS11
Change logic to convert persist decimal to double -&gt; error
TS12 
persist re-ingest date field still 1400
Source 125/ spec 42 (data file no header)
- incorrect CBR spec provided</t>
  </si>
  <si>
    <r>
      <rPr>
        <sz val="11"/>
        <color rgb="FF000000"/>
        <rFont val="Aptos Narrow"/>
        <scheme val="minor"/>
      </rPr>
      <t>[1 Apr] TS4,</t>
    </r>
    <r>
      <rPr>
        <sz val="11"/>
        <color rgb="FFC00000"/>
        <rFont val="Aptos Narrow"/>
        <scheme val="minor"/>
      </rPr>
      <t>TS11,TS12</t>
    </r>
    <r>
      <rPr>
        <sz val="11"/>
        <color rgb="FF000000"/>
        <rFont val="Aptos Narrow"/>
        <scheme val="minor"/>
      </rPr>
      <t xml:space="preserve"> failed
-Sum record
[28-Mar] Updated date format (yyyyMMdd) to be aligned with data file
[22-Mar] Update CBE Foundateion (Reference : CBR_VP_CMB_DEAL_AR_DTL_MO_v0.1)
Aligned with source  and CBR EBAN 125 Fields</t>
    </r>
  </si>
  <si>
    <t>pcb_dep</t>
  </si>
  <si>
    <t>persist_pcb_dep.pcb_dep_extrate1</t>
  </si>
  <si>
    <t>2024-03-27</t>
  </si>
  <si>
    <t>[1 Apr] All passed : No need to enhance Thai encode
[27-Mar] ValueError: invalid literal for int() with base 10: 'FZ0001'
File has no header and footer record, but config set header and footer</t>
  </si>
  <si>
    <t>[28 Mar] EBAN team confirmed to remove header, tailor label</t>
  </si>
  <si>
    <t>No need to enhance Thai encode</t>
  </si>
  <si>
    <t>persist_pcb_dep.pcb_dep_deptxn_db</t>
  </si>
  <si>
    <t>2024-03-19</t>
  </si>
  <si>
    <t xml:space="preserve">TS12 
All week-based patterns are unsupported since Spark 3.0, detected: e, Please use the SQL function EXTRACT instead </t>
  </si>
  <si>
    <t>[28-Mar] Updated CBR as per new version of CBR EBAN (Fixed Timestamp datasize) and EBAN confirmed timestamp format as 2024-03-24 00:00:00.0
[25-Mar] EBAN confirmed Update Datatype : ORIG_SRC_STM_ID smallint to int</t>
  </si>
  <si>
    <t>M (Thai encode)</t>
  </si>
  <si>
    <t>2024-03-26</t>
  </si>
  <si>
    <t xml:space="preserve">[28-Mar Tee] 
Source columns: 63
raw DDL columns: 60
- ['strcustaxid', 'strkbankaut', 'strcustype']
-----------------------------------------------------------------------
Mismatch data layout
- Data source 63 |CBR EBAN 60 | KBMF (spec) 50 
decfeeamt, decbalfeeamt, strlastfeedate, strpersoncont, strvostrocode, strmappingglno, strrmcode, strrmname, strsegment, strspokeid, strcustaxid, strkbankaut, strcustype
TS04 Failed
TS05 Failed
TS12 Failed 
INGT_SIT_0063 : field ซ้ำ </t>
  </si>
  <si>
    <r>
      <rPr>
        <b/>
        <sz val="11"/>
        <color rgb="FF000000"/>
        <rFont val="Calibri"/>
      </rPr>
      <t xml:space="preserve">[28-Mar Saranchai S.] Completed Revise CBR
</t>
    </r>
    <r>
      <rPr>
        <sz val="11"/>
        <color rgb="FF000000"/>
        <rFont val="Calibri"/>
      </rPr>
      <t xml:space="preserve">
[26-Mar] EBAN Team agreed to align table structure by CBR EBAN (diff with data 3 fields)</t>
    </r>
  </si>
  <si>
    <t>extraction config pull DB</t>
  </si>
  <si>
    <t>M</t>
  </si>
  <si>
    <t>persist_scf.scf_vw_trading_acct</t>
  </si>
  <si>
    <t>[27-Mar] Diff 3 fields from datafile (stroverdrawflg, strflagtype, strbankcode)
Mismatch data layout
- Data source 18 / raw 15 / persist 15
- CBR 15, KBMF 15 (CBR and KBMF are the same)</t>
  </si>
  <si>
    <t>[28-Mar] EBAN Team confirmed to align table structure by CBR EBAN (diff with data 3 fields)
Use same KBMF (KBMF-(460)-SCM_TRADING_ACCT)</t>
  </si>
  <si>
    <t>persist_trade_na.trade_na_src_eximar</t>
  </si>
  <si>
    <r>
      <rPr>
        <sz val="11"/>
        <color rgb="FF000000"/>
        <rFont val="Aptos Narrow"/>
        <scheme val="minor"/>
      </rPr>
      <t xml:space="preserve">[28-Mar Tee] Ingestion Success
</t>
    </r>
    <r>
      <rPr>
        <b/>
        <sz val="11"/>
        <color rgb="FF000000"/>
        <rFont val="Aptos Narrow"/>
        <scheme val="minor"/>
      </rPr>
      <t xml:space="preserve">TS08 Mandatory null
</t>
    </r>
    <r>
      <rPr>
        <sz val="11"/>
        <color rgb="FF000000"/>
        <rFont val="Aptos Narrow"/>
        <scheme val="minor"/>
      </rPr>
      <t>The following mandatory column(s) contain null value: ['bill_cyc_id', 'blc_code_id', 'call_dt', 'put_dt', 'call_prc', 'put_prc', 'cc_tp_id', 'cls_bal_amt', 'clt_amt', 'clt_tp', 'cmpd_frq', 'ctr_sign_dt', 'cost_cntr', 'cntpr_nm', 'nxt_pnp_pymt_amt', 'nxt_int_pymt_amt', 'crn_stmt_bal', 'bsn_code_id', 'ip_id', 'cst_tp_id', 'dept_no', 'exn_dep_amt', 'grc_prd', 'hld_ac', 'hld_bal_amt', 'ar_hld_tp_id', 'prch_sale_ind', 'rcv_pay_ind', 'issu_dt', 'ivsm_tp', 'issur_nm', 'last_rprc_dt', 'ar_pps_tp_id', 'mtm_val', 'orig_pymt_amt', 'opn_bal_amt', 'clc_int_stop_dt', 'prd_flr_rate', 'prd_cap_rate', 'prev_stmt_bal', 'rate_cap', 'rate_flr', 'rprc_sprd_rate', 'rvrs_acr_int_dt', 'sp_itnl_rtg', 'tris_itnl_rtg', 'fitch_itnl_rtg', 'moodys_itnl_rtg', 'scr_nm', 'ln_clsfd_bot', 'tsr_rate_end_dt', 'tsr_rate', 'tsr_rate_tp_id', 'ppymt_bal_amt', 'ppymt_dt', 'ppymt_f', 'lmt_amt_rng', 'pct_non_rvl', 'ac_ofcr', 'crn_rate_fix', 'exn_mo_f', 'fwd_tp_code', 'npl_dt', 'orig_admn_rate', 'setl_dt', 'val_dt', 'yld_to_mat', 'pymt_due_dt', 'ln_clsfd', 'ac_ofcr_pd_f', 'cst_seg_id', 'ppn_dt', 'ppn_tm', 'src_stm_id', 'sub_product']
TS12 
All week-based patterns are unsupported since Spark 3.0, detected: e, Please use the SQL function EXTRACT instead 
[28-Mar] Fixed init raw ( added record type)</t>
    </r>
  </si>
  <si>
    <t>Mandatory null</t>
  </si>
  <si>
    <t>missing the columns: src_pos_dt</t>
  </si>
  <si>
    <t>[29-Mar] CBR + Iinit + spec mapping (Fixed) : Updated date, timestamp format yyyy-MM-dd HH:mm:ss and yyyy-MM-dd HH:mm:ss.SSSSSS to be aligned with source data file and change to timestamp for all date in target table</t>
  </si>
  <si>
    <t>[25-Mar] INCONSISTENT_BEHAVIOR_CROSS_VERSION.PARSE_DATETIME_BY_NEW_PARSER
[21-Mar] src_pos_dt =&gt; Fixed</t>
  </si>
  <si>
    <r>
      <rPr>
        <sz val="11"/>
        <color rgb="FFFF0000"/>
        <rFont val="Aptos Narrow"/>
        <scheme val="minor"/>
      </rPr>
      <t xml:space="preserve">[29-Mar Tee] Detecting extra columns ['min_bal_amount'] in source dataframe compared to target database mdpuat.raw_ud.ud_vw_fi_fnd_inf_ful
Data source 64 | CBR 63 |KBMF 64 |
Diff 1 fields (&lt;min_bal_amount&gt;)
</t>
    </r>
    <r>
      <rPr>
        <sz val="11"/>
        <color rgb="FF000000"/>
        <rFont val="Aptos Narrow"/>
        <scheme val="minor"/>
      </rPr>
      <t xml:space="preserve">
[25-Mar] INCONSISTENT_BEHAVIOR_CROSS_VERSION.PARSE_DATETIME_BY_NEW_PARSER
[21-Mar] src_pos_dt =&gt; Fixed</t>
    </r>
  </si>
  <si>
    <t>[25-Mar] INCONSISTENT_BEHAVIOR_CROSS_VERSION.PARSE_DATETIME_BY_NEW_PARSER</t>
  </si>
  <si>
    <r>
      <rPr>
        <sz val="11"/>
        <color rgb="FF000000"/>
        <rFont val="Calibri"/>
      </rPr>
      <t xml:space="preserve">[29-Mar] incorrect date format in cbr ['dtecreatedate', 'dteupddate'] </t>
    </r>
    <r>
      <rPr>
        <sz val="11"/>
        <color rgb="FFFF0000"/>
        <rFont val="Calibri"/>
      </rPr>
      <t xml:space="preserve">=&gt; Pending EBAN to confirm on date format
</t>
    </r>
    <r>
      <rPr>
        <b/>
        <sz val="11"/>
        <color rgb="FF000000"/>
        <rFont val="Calibri"/>
      </rPr>
      <t>dtecreatedate</t>
    </r>
    <r>
      <rPr>
        <sz val="11"/>
        <color rgb="FF000000"/>
        <rFont val="Calibri"/>
      </rPr>
      <t xml:space="preserve"> from yyyy-MM-dd HH:mm:ss.sss -&gt; yyyy-MM-dd HH:mm:ss.SSSSSS
</t>
    </r>
    <r>
      <rPr>
        <b/>
        <sz val="11"/>
        <color rgb="FF000000"/>
        <rFont val="Calibri"/>
      </rPr>
      <t xml:space="preserve">dteupddate inconsistent date format -  yyyy-MM-dd HH:mm:ss.SSSSSS,  yyyy-MM-dd HH:mm:ss =&gt; To align with data file
</t>
    </r>
    <r>
      <rPr>
        <sz val="11"/>
        <color rgb="FF000000"/>
        <rFont val="Calibri"/>
      </rPr>
      <t xml:space="preserve">[28-Mar Tee] Ingestion Success
Mismatch data layout
- Data source 96 / CBR spec 66 / KBMF 56 </t>
    </r>
  </si>
  <si>
    <t xml:space="preserve">[1-Apr] EBAN team confirmed to use
- 'dteupdate', 'dtecreatedate' = yyyy-MM-dd HH:mm:ss.SSSSSS
[29Mar] 
'dteupddate' data ส่งมา 2 format มีทั้ง yyyy-MM-dd HH:mm:ss และ yyyy-MM-dd HH:mm:ss.SSSSSS
จาก spec จะเป็น format yyyy-MM-dd HH:mm:ss.SSS 
[28-Mar Saranchai S.] Completed Revise 96 fields
</t>
  </si>
  <si>
    <t>[1-April] 
CBR
spec mapping</t>
  </si>
  <si>
    <t>Mismatch data layout
- Data source 73 / CBR spec 66 / KBMF 73
- To update CBR MDP to be aligned with KBMF 73</t>
  </si>
  <si>
    <t>[29-Mar] Updated CBR as new KBMF from EBAN (KBMF-(460)-SCM_TRADING (1))</t>
  </si>
  <si>
    <t>persist_pcb_dep.pcb_dep_cb2d0005_odencitd_sam</t>
  </si>
  <si>
    <t>Plan B: Source File (EBAN) - fix length</t>
  </si>
  <si>
    <t>[27-Mar] extra column 'filler' from fixed length mapping
[28-Mar] To add filler in init raw</t>
  </si>
  <si>
    <t>persist_cardlink.cardlink_kb1dh002_cpbcrd</t>
  </si>
  <si>
    <t>[29-Mar] source 465| raw 466
Data source xx | CBR xx |KBMF xx |
[Fixed] 2 hours processed, needs upsize also</t>
  </si>
  <si>
    <r>
      <rPr>
        <sz val="11"/>
        <color rgb="FF000000"/>
        <rFont val="Aptos Narrow"/>
        <scheme val="minor"/>
      </rPr>
      <t xml:space="preserve">[28-Mar Tee] Schema is already correct, format in ingest spec is not correct yet.
</t>
    </r>
    <r>
      <rPr>
        <b/>
        <sz val="11"/>
        <color rgb="FF000000"/>
        <rFont val="Aptos Narrow"/>
        <scheme val="minor"/>
      </rPr>
      <t>Ex. of Date data: 2024-03-19 00:00:00, Timestamp data: 2024-03-15 01:12:55.605384</t>
    </r>
  </si>
  <si>
    <r>
      <rPr>
        <sz val="11"/>
        <color rgb="FF000000"/>
        <rFont val="Aptos Narrow"/>
        <scheme val="minor"/>
      </rPr>
      <t xml:space="preserve">[29-Mar] CBR + Iinit + spec mapping (Fixed) : Updated date, timestamp format yyyy-MM-dd HH:mm:ss and yyyy-MM-dd HH:mm:ss.SSSSSS to be aligned with source data file and change to timestamp for all date in target table
Update MDP CBR align from KBMF
</t>
    </r>
    <r>
      <rPr>
        <b/>
        <sz val="11"/>
        <color rgb="FF000000"/>
        <rFont val="Aptos Narrow"/>
        <scheme val="minor"/>
      </rPr>
      <t>data xx/ KBMF 32</t>
    </r>
    <r>
      <rPr>
        <sz val="11"/>
        <color rgb="FF000000"/>
        <rFont val="Aptos Narrow"/>
        <scheme val="minor"/>
      </rPr>
      <t xml:space="preserve"> / </t>
    </r>
    <r>
      <rPr>
        <b/>
        <sz val="11"/>
        <color rgb="FF000000"/>
        <rFont val="Aptos Narrow"/>
        <scheme val="minor"/>
      </rPr>
      <t>CBR 32</t>
    </r>
    <r>
      <rPr>
        <sz val="11"/>
        <color rgb="FF000000"/>
        <rFont val="Aptos Narrow"/>
        <scheme val="minor"/>
      </rPr>
      <t xml:space="preserve"> (sequence is different between CBR and KBMF)
[27-Mar] Update CBR to align with KBMF source and fixed init, spec</t>
    </r>
  </si>
  <si>
    <t>persist_cardlink.cardlink_kb1dh019_cc1t377</t>
  </si>
  <si>
    <t>[28-Mar] Missing mandatory field in cbr
[27-Mar] Done</t>
  </si>
  <si>
    <t>Mandatory = O
btw to check CBR EBAN (source)</t>
  </si>
  <si>
    <t>Missing mandatory field</t>
  </si>
  <si>
    <t>persist_cardlink.cardlink_kb1dh038_cc1d5012</t>
  </si>
  <si>
    <t>persist_cardlink.cardlink_kb1dh013_eptrans</t>
  </si>
  <si>
    <t>[28-Mar Tee] invalid literal for int() with base 10: '53|' -&gt; fixed length mapping for footer is not correct - INGT_SIT_0076
Fixed length data, but delimiter at footer ?
[27-Mar] UnicodeError
[28-Mar M] Implement Encoding to job config for ANSI</t>
  </si>
  <si>
    <t>Offset
btw to check CBR EBAN (source)</t>
  </si>
  <si>
    <t>Unicode</t>
  </si>
  <si>
    <t>[1-April] 
CBR
fixed length mapping</t>
  </si>
  <si>
    <t>persist_cardlink.cardlink_kb1dh017_cpamt</t>
  </si>
  <si>
    <r>
      <rPr>
        <sz val="11"/>
        <color rgb="FFC00000"/>
        <rFont val="Aptos Narrow"/>
        <scheme val="minor"/>
      </rPr>
      <t xml:space="preserve">[28-Mar] TS08: Mandatory null
 ['dh017_cmt_card_nmbr']
</t>
    </r>
    <r>
      <rPr>
        <sz val="11"/>
        <color rgb="FF000000"/>
        <rFont val="Aptos Narrow"/>
        <scheme val="minor"/>
      </rPr>
      <t xml:space="preserve">
[27-Mar] UnicodeError
[28-Mar M] Implement Encoding to job config for ANSI
[28-Mar Tee] Ingestion success</t>
    </r>
  </si>
  <si>
    <t>Unicode
Mandatory null</t>
  </si>
  <si>
    <t>persist_cardlink.cardlink_kb1dh018_cpsrptt</t>
  </si>
  <si>
    <t>[1-Apr Tee] multiple encoding char for multiple files
[27-Mar] UnicodeError</t>
  </si>
  <si>
    <t>persist_cardlink.cardlink_kb1dh014_cc1dmpgl</t>
  </si>
  <si>
    <t>[28-Mar Tee] fixed length mapping for footer is not correct - INGT_SIT_0077
Fixed length data, but delimiter at footer ?
[27-Mar] UnicodeError
[28-Mar M] Implement Encoding to job config for ANSI</t>
  </si>
  <si>
    <t>fxb</t>
  </si>
  <si>
    <t>persist_fxb.fxb_midrate_kbank</t>
  </si>
  <si>
    <t>2024-03-13
2024-03-14</t>
  </si>
  <si>
    <t xml:space="preserve">[29-Mar Tee] Rerun job success with PKs and remove upd_tms from raw
[28 Mar -M] - Fixed config update PK List to Job config
[27Mar] incremental file failed with no primary key
[26 Mar]
rerun with incremental = initial 
error Control File Record Count 232 is not equal to spark dataframe record count 229
[25 Mar - warm] - to rerun wiht incremental = initial ( also lpm_as400)
DependencyCheckError: Failed dependency checking: The job is not ready due to failures in prerequisite jobs.  ingest_fxb_midrate_kbank_d - 2024-03-12
(Delta) Initial file 232 records
</t>
  </si>
  <si>
    <t>[1 April] 
Due to the columns 'record_type', 'filler_1', 'filler_2' will stored and present only in raw
Test result : TS03 will be failed
[27 Mar] source confirmed to Updated primary key fields "underlying currency", "base currency"</t>
  </si>
  <si>
    <t xml:space="preserve"> Missing Primary Key</t>
  </si>
  <si>
    <t>lec</t>
  </si>
  <si>
    <t>persist_lec.lec_lecp_lec3d18</t>
  </si>
  <si>
    <t xml:space="preserve">[28-Mar Tee] ingestion success
-fw log control file count = None
-CBR have filler column
-Data no filler
-Raw no filler column
[28-Mar - M] Updated fixed_length_mapping </t>
  </si>
  <si>
    <t>persist_ud.ud_ka_fundcode</t>
  </si>
  <si>
    <r>
      <rPr>
        <sz val="11"/>
        <color rgb="FF000000"/>
        <rFont val="Aptos Narrow"/>
        <scheme val="minor"/>
      </rPr>
      <t xml:space="preserve">[28-Mar Tee] raw DDL column name should be same as source column name when source header column flag is "Y", ingestion spec also; </t>
    </r>
    <r>
      <rPr>
        <sz val="11"/>
        <color rgb="FFFF0000"/>
        <rFont val="Aptos Narrow"/>
        <scheme val="minor"/>
      </rPr>
      <t xml:space="preserve">=&gt; Pending to confirm with source (rectype and rcrd_tp)
</t>
    </r>
    <r>
      <rPr>
        <sz val="11"/>
        <color rgb="FF000000"/>
        <rFont val="Aptos Narrow"/>
        <scheme val="minor"/>
      </rPr>
      <t xml:space="preserve">
[27-Mar] Extraction config and ingestion config are not correct. Date is specified in filename. Should be KA_FundCode_YYYYMMDD.txt
[29-Mar M] Update diffrent filter columns (transform_to_raw_task) now </t>
    </r>
  </si>
  <si>
    <t>persist_ud.ud_privatefund_balance</t>
  </si>
  <si>
    <t>[28-Mar Tee] Data file does not have header column flag, but header is specified =&gt; CBR Fixed
[27-Mar] Extraction config and ingestion config are not correct. Date is specified in filename. Should be PrivateFund_Balance_YYYYMMDD.txt
[28-Mar] Update file name both extraction config , job config
[29-Mar M] Update columns name flag to False (N)</t>
  </si>
  <si>
    <t>persist_cardlink.cardlink_kb1dh037_cpccpf_p</t>
  </si>
  <si>
    <t>File does not exist for transferred</t>
  </si>
  <si>
    <t>persist_cardlink.cardlink_kb1dh001_cp1t170_01</t>
  </si>
  <si>
    <t>Changed to KAS layout</t>
  </si>
  <si>
    <t>KAS layout</t>
  </si>
  <si>
    <t>persist_cardlink.cardlink_kb1dh032_addtype</t>
  </si>
  <si>
    <t>persist_cardlink.cardlink_la10s_oatkn</t>
  </si>
  <si>
    <t>persist_cardlink.cardlink_kb1dh037_cptcpf_p</t>
  </si>
  <si>
    <t>persist_cardlink.cardlink_kb1dh045_cc1d289g</t>
  </si>
  <si>
    <t>[29-Mar] CBR does not have mandatory flag
[28-Mar Tee] ingestion success but pending upsize cluster
[27-Mar] Control-M set wrong job config path</t>
  </si>
  <si>
    <t>Control-M</t>
  </si>
  <si>
    <t>persist_cardlink.cardlink_kb1dh028_ccixpt</t>
  </si>
  <si>
    <t>persist_cardlink.cardlink_kb1dh029_ccatabla</t>
  </si>
  <si>
    <t>persist_cardlink.cardlink_kb1dh030_cuptran</t>
  </si>
  <si>
    <t>persist_cardlink.cardlink_kb1dh012_cpcah</t>
  </si>
  <si>
    <t>persist_cardlink.cardlink_kb1dh020_cc1d582d</t>
  </si>
  <si>
    <t>persist_cardlink.cardlink_kb1dh021_cc1d582s</t>
  </si>
  <si>
    <t>persist_cardlink.cardlink_kb1dh022_oadcc32</t>
  </si>
  <si>
    <t>persist_cardlink.cardlink_kb1dh024_cc1d560</t>
  </si>
  <si>
    <t>persist_cardlink.cardlink_kb1dh025_cpcah</t>
  </si>
  <si>
    <t>[28-Mar Tee] Need upsize cluster again</t>
  </si>
  <si>
    <t>[1 Apr] Fatal error: The Python kernel is unresponsive in Test Notebook</t>
  </si>
  <si>
    <t>Cluster size (out of mem)</t>
  </si>
  <si>
    <t>[1 April]  TS05, TS11 failed
[27-Mar] Control file is correct, need to find way to read source</t>
  </si>
  <si>
    <t>persist_gts.gts_kbgt_cont_outstanding</t>
  </si>
  <si>
    <t>[29-Mar Tee] Detecting extra columns ['_c157', '_c158'] in source dataframe compared to target database mdpuat.raw_gts.gts_kbgt_cont_outstanding
[28-Mar Tee] orig_admn_rate is missing from ingestion spec =&gt; Fixed
Mismatch data layout (data file no header)
Data source 159 /CBR EBAN 157 / KBMF 163
&gt;&gt; check column EBAN prod (156) diff 'header3'</t>
  </si>
  <si>
    <t>[1-April]
To check updated KBMF (159 fields)
'SRC_SYSTEM' 
[25-Mar] EBAN team confirmed to align spec from CBR 157 fields ('header3' &gt;&gt; rec_type)</t>
  </si>
  <si>
    <r>
      <rPr>
        <sz val="11"/>
        <color rgb="FF000000"/>
        <rFont val="Aptos Narrow"/>
        <scheme val="minor"/>
      </rPr>
      <t xml:space="preserve">[28-Mar]
TS03, 04, 12 Failed
</t>
    </r>
    <r>
      <rPr>
        <sz val="11"/>
        <color rgb="FFFF0000"/>
        <rFont val="Aptos Narrow"/>
        <scheme val="minor"/>
      </rPr>
      <t xml:space="preserve">
To Update CBR field INTPERIODDAYS =&gt; decimal(3,0) to smallint(3)
</t>
    </r>
    <r>
      <rPr>
        <sz val="11"/>
        <color rgb="FF000000"/>
        <rFont val="Aptos Narrow"/>
        <scheme val="minor"/>
      </rPr>
      <t xml:space="preserve">TBD Spec with EBAN
TS03: num col mismatch 
- data source(47) / KBMF (37) / CBR EBAN (37)
</t>
    </r>
    <r>
      <rPr>
        <i/>
        <sz val="11"/>
        <color rgb="FF000000"/>
        <rFont val="Aptos Narrow"/>
        <scheme val="minor"/>
      </rPr>
      <t xml:space="preserve">['strstep', 'strchargefeedate', 'strremark', 'strfeecodebahtnet', 'decfeeamtsbahtnet', 'decfeeamtdbahtnet', 'strchargefeeforbahtnet', 'strfeetypebahtnet', 'strefftdatebahtnet', 'stractiveflagbahtnet'] 
</t>
    </r>
    <r>
      <rPr>
        <sz val="11"/>
        <color rgb="FF000000"/>
        <rFont val="Aptos Narrow"/>
        <scheme val="minor"/>
      </rPr>
      <t>TS04: col name mismatch</t>
    </r>
  </si>
  <si>
    <r>
      <rPr>
        <sz val="11"/>
        <color rgb="FF000000"/>
        <rFont val="Aptos Narrow"/>
        <scheme val="minor"/>
      </rPr>
      <t xml:space="preserve">[27-Mar] KBMF source and CBR EBAN are in the same layout
[21-Mar] EBAN Team agreed to align table structure by </t>
    </r>
    <r>
      <rPr>
        <u/>
        <sz val="11"/>
        <color rgb="FF000000"/>
        <rFont val="Aptos Narrow"/>
        <scheme val="minor"/>
      </rPr>
      <t>CBR EBAN</t>
    </r>
    <r>
      <rPr>
        <sz val="11"/>
        <color rgb="FF000000"/>
        <rFont val="Aptos Narrow"/>
        <scheme val="minor"/>
      </rPr>
      <t xml:space="preserve"> (diff with data 10 fields)</t>
    </r>
  </si>
  <si>
    <t>persist_cardlink.cardlink_kb1dh023_lbpttrn</t>
  </si>
  <si>
    <t>[27-Mar] Done</t>
  </si>
  <si>
    <t>persist_cardlink.cardlink_kb1dh039_ccnd5012</t>
  </si>
  <si>
    <r>
      <rPr>
        <sz val="11"/>
        <color rgb="FF000000"/>
        <rFont val="Aptos Narrow"/>
        <scheme val="minor"/>
      </rPr>
      <t xml:space="preserve">[28-Mar] incorrect CBR column name 
dh039_trans_dest_amt </t>
    </r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 xml:space="preserve">dh039_retrvl_ref_nbr are in the same cell for both source and target
</t>
    </r>
    <r>
      <rPr>
        <b/>
        <sz val="11"/>
        <color rgb="FF000000"/>
        <rFont val="Aptos Narrow"/>
        <scheme val="minor"/>
      </rPr>
      <t xml:space="preserve">
[27-Mar] Done</t>
    </r>
  </si>
  <si>
    <t>persist_cardlink.cardlink_lb1dh002_lbcrd</t>
  </si>
  <si>
    <t xml:space="preserve">[28-Mar] Missing mandatory field in cbr
[27-Mar] Done </t>
  </si>
  <si>
    <t>persist_ks.ks_fundmaster</t>
  </si>
  <si>
    <t>persist_ks.ks_custprofile</t>
  </si>
  <si>
    <r>
      <rPr>
        <sz val="11"/>
        <color rgb="FF000000"/>
        <rFont val="Aptos Narrow"/>
        <scheme val="minor"/>
      </rPr>
      <t xml:space="preserve">[1-April]
- Due to the column name change from 'as_of_d't to 'src_pos_dt'
Test result : TS04 will be failed
- EBAN confirmed that on EBAN production didn't have null value for field 'card_id'
Test result : TS08 will be failed
[29-Mar]
TS04: column name change src_pos_dt
TS:08 Mandatory null
['card_id']
[27-Mar] Source timestamp data sent milliseconds, but timestamp format is </t>
    </r>
    <r>
      <rPr>
        <b/>
        <sz val="11"/>
        <color rgb="FF000000"/>
        <rFont val="Aptos Narrow"/>
        <scheme val="minor"/>
      </rPr>
      <t>yyyy-MM-dd HH:mm:ss.</t>
    </r>
    <r>
      <rPr>
        <sz val="11"/>
        <color rgb="FF000000"/>
        <rFont val="Aptos Narrow"/>
        <scheme val="minor"/>
      </rPr>
      <t xml:space="preserve"> Using  </t>
    </r>
    <r>
      <rPr>
        <b/>
        <sz val="11"/>
        <color rgb="FF000000"/>
        <rFont val="Aptos Narrow"/>
        <scheme val="minor"/>
      </rPr>
      <t>yyyy-MM-dd HH:mm:ss.SSSSSS</t>
    </r>
    <r>
      <rPr>
        <sz val="11"/>
        <color rgb="FF000000"/>
        <rFont val="Aptos Narrow"/>
        <scheme val="minor"/>
      </rPr>
      <t xml:space="preserve"> instead
ref - INGT_SIT_0074
https://kasikornbankgroup.sharepoint.com/:x:/s/DocumentRepository/Data%20-%20Analytics/EVNQm3Jxo0xBlN_XYjolql0Bsq4FIiqlOg11xdBTKDqPqQ?e=BCxCeG</t>
    </r>
  </si>
  <si>
    <t>[28-Mar] EBAN confirmed to align date format with datafile yyyy-MM-dd HH:mm:ss.SSSSSS</t>
  </si>
  <si>
    <t>persist_pcb_loan.pcb_loan_common_account_info</t>
  </si>
  <si>
    <t>[28-Mar] TS08: Mandatory null
['coa_rspl_cntr_pnp', 'coa_fnc_pnp', 'ac_adr1', 'tfr_br', 'resch_flg', 'ren_code']
[27-Mar] Ingestion success
1. Mismatch data layout (no header column)
- Data source 162/ CBR EBAN Spec 161 / KBMF 162
2. Mandatory null 
['coa_rspl_cntr_pnp', 'coa_fnc_pnp', 'ac_adr1', 'tfr_br', 'resch_flg', 'ren_code']
[27-Mar] Ingestion success</t>
  </si>
  <si>
    <t>[27-Mar] Updated CBR to align with KBMF source and fixed init raw
[26-Mar] Align with KBMF source (added filler to the last column)</t>
  </si>
  <si>
    <t>Mismatch source data layout
Mandatory null
Unicode</t>
  </si>
  <si>
    <t>pending re-order for Thai encode</t>
  </si>
  <si>
    <t>persist_kplus.kplus_view_jmobile_log</t>
  </si>
  <si>
    <t>2024-03-25</t>
  </si>
  <si>
    <t>TS04: source send col name with encrypt
TS05: tinyint -&gt; tinyint?
ValueError: Data source schema mismatches with the target table, missing the columns: registeredcardno
[28-Mar] Rerun success</t>
  </si>
  <si>
    <t>[28-Mar] 
Revised datatype from tinyint to smallint in Target table</t>
  </si>
  <si>
    <t>cardlink_acq</t>
  </si>
  <si>
    <t>persist_cardlink_acq.cardlink_acq_ci1d1166_crdhd</t>
  </si>
  <si>
    <t>TS08 Mandatory null
['issuedate', 'firstyearfee']
[28-Mar] EBAN confirmed that on EBAN production have null value for fields 'issuedate'
Test result : TS08 will be failed</t>
  </si>
  <si>
    <t>persist_cardlink_acq.cardlink_acq_ci1d1178_crdreg</t>
  </si>
  <si>
    <t>TS08 Mandatory null
['issuedate', 'firstyearfee']</t>
  </si>
  <si>
    <t>persist_cardlink_acq.cardlink_acq_ci1d1167_cardtype</t>
  </si>
  <si>
    <t>persist_dgtl_fctrng.dgtl_fctrng_fact_acct</t>
  </si>
  <si>
    <r>
      <rPr>
        <sz val="11"/>
        <color rgb="FF000000"/>
        <rFont val="Aptos Narrow"/>
        <scheme val="minor"/>
      </rPr>
      <t xml:space="preserve">[1-April] 
</t>
    </r>
    <r>
      <rPr>
        <sz val="11"/>
        <color rgb="FFC00000"/>
        <rFont val="Aptos Narrow"/>
        <scheme val="minor"/>
      </rPr>
      <t xml:space="preserve">- To enhance TS05 : number(10) &gt;&gt; expected_result bigint
- To enhance TS11: sum record
</t>
    </r>
    <r>
      <rPr>
        <sz val="11"/>
        <color rgb="FF000000"/>
        <rFont val="Aptos Narrow"/>
        <scheme val="minor"/>
      </rPr>
      <t>- EBAN confirmed that on EBAN production have null value for fields 'last_int_pymt_dt', 'last_pnp_pymt_dt', 'nxt_int_pymt_dt'
Test result : TS08 will be failed
[26 Mar] 
TS08 Mandatory null
['last_int_pymt_dt', 'last_pnp_pymt_dt', 'nxt_int_pymt_dt']
[Fixed] INGT_SIT_0062: A column or function parameter with name `dpd-prin` cannot be resolved</t>
    </r>
  </si>
  <si>
    <t>Primary Key Duplicate
['orgcode', 'clientcode', 'startdate', 'seq']
[25-Mar] Source confirmed add PK for 'limittype'</t>
  </si>
  <si>
    <t>[25-Mar] Source confirmed add PK for 'limittype'</t>
  </si>
  <si>
    <t xml:space="preserve">float column display 0.00 in test vs 0 in sql
</t>
  </si>
  <si>
    <t>fcd</t>
  </si>
  <si>
    <t>persist_fcd.fcd_ar</t>
  </si>
  <si>
    <r>
      <rPr>
        <sz val="11"/>
        <color rgb="FF000000"/>
        <rFont val="Aptos Narrow"/>
        <scheme val="minor"/>
      </rPr>
      <t xml:space="preserve">[27 Mar] TS05  
datatype  9(11)V9(5) แปลงเป็นdecimal16,2 หรือ decimal 16,5 - fixed
</t>
    </r>
    <r>
      <rPr>
        <strike/>
        <sz val="11"/>
        <color rgb="FF000000"/>
        <rFont val="Aptos Narrow"/>
        <scheme val="minor"/>
      </rPr>
      <t xml:space="preserve">
Data source 68 / CBR 67 / KBMF 68
TS03: count col mismatch
TS04: col name mismatch
TS12: thai encoder - from source</t>
    </r>
  </si>
  <si>
    <t>[27-Mar] Updated CBR to decimal 16,5 and fixed init, spec
[25-Mar] EBAN confirmed to align spec from KBMF 68 fields</t>
  </si>
  <si>
    <t>persist_gts.gts_kbgt_limit</t>
  </si>
  <si>
    <t xml:space="preserve">TS08:Mandatory null ['facility_description', 'approverid', 'makerid']
[25-Mar] EBAN confirmed that on prodution don't have null value for all field </t>
  </si>
  <si>
    <t>persist_gts.gts_dbtl4xl6</t>
  </si>
  <si>
    <t>hris</t>
  </si>
  <si>
    <t>persist_hris.hris_staff_accnt_vw</t>
  </si>
  <si>
    <t>[27-Mar] AssertionError: Control File Record Count 20789 is not equal to spark dataframe record count 20788
[26 Mar] extraction error
แก้ extraction config , job config, CBR จาก 
hris_staff_accnt_vw_YYYYMMDD.txt
เป็น
extraction config : HRIS_STAFF_ACCNT_{{ptn_yyyy}}{{ptn_mm}}{{ptn_dd}}.* 
CBR:  HRIS_STAFF_ACCNT_YYYYMMDD.txt 
[27Mar] 
-Fixed both extraction and job config about name 
extraction config : HRIS_STAFF_ACCNT_{{ptn_yyyy}}{{ptn_mm}}{{ptn_dd}}.* 
CBR:  HRIS_STAFF_ACCNT_YYYYMMDD.txt 
- Fixed Columns name flag Y -&gt;&gt; N</t>
  </si>
  <si>
    <t>[26 Mar] CBR updated Column Name Flag from "Y" to "N"  to
CBR_Ingestion_hris_staff_accnt_vw_v02_00_00</t>
  </si>
  <si>
    <t>persist_kplus.kplus_view_balancealertreglog_log</t>
  </si>
  <si>
    <t>persist_kplus.kplus_jmobiletranloghd</t>
  </si>
  <si>
    <t>[2 Apr]
Spec format : yyyy-MM-dd HH:mm:ss.SSS
Data source:
- datetime :  yyyy-MM-dd HH:mm:ss
- duedate  : yyyy-MM-dd HH:mm:ss and 'NULL' value
field: datetime, duedate ที่ persist view แสดงเป็น 1400-01-01 00:00:00.000</t>
  </si>
  <si>
    <t>persist_kplus.kplus_view_simbankbankinfo_log</t>
  </si>
  <si>
    <t>SUCCESS - 2024-03-10</t>
  </si>
  <si>
    <t>lpm_wrtoff</t>
  </si>
  <si>
    <t>persist_lpm_wrtoff.lpm_wrtoff_pscp_wo_wo1d04h_sam</t>
  </si>
  <si>
    <t>Pending enhance file .SAM</t>
  </si>
  <si>
    <t>persist_mx.mx_mktevent</t>
  </si>
  <si>
    <t>persist_mx.mx_mmlivemat</t>
  </si>
  <si>
    <t>2024-03-21</t>
  </si>
  <si>
    <t>prinamt - inconsistant floating point ( decimal type)
Source 42/ spec 41 (data file no header) 
&gt;&gt; Add field 'ctpy_full_name' =&gt; Fixed</t>
  </si>
  <si>
    <t>persist_mx.mx_report_limit_ctp_funded_forint</t>
  </si>
  <si>
    <t>persist_mx.mx_report_limit_pse_forint</t>
  </si>
  <si>
    <t>persist_mx.mx_report_limit_se_forint</t>
  </si>
  <si>
    <t>persist_mx.mx_reset_lp_ctp_funded_forint</t>
  </si>
  <si>
    <t>Mandatory null
['counterparty_staus']</t>
  </si>
  <si>
    <t>persist_mx.mx_reset_mplcde_forint</t>
  </si>
  <si>
    <t>persist_mx.mx_limiteffective</t>
  </si>
  <si>
    <t>persist_pcb_dep.pcb_dep_src_pf_ar_sa_dly</t>
  </si>
  <si>
    <t>Mandatory null ['pcb_int_idnx', 'tax_owner']
[25-Mar] EBAN confirmed that on prodution have null value for field 'pcb_int_idnx'
TS12: thai encoding - from source - order 2024-03-24</t>
  </si>
  <si>
    <t>persist_pcb_dep.pcb_dep_src_pf_ar_ca_dly</t>
  </si>
  <si>
    <t>TS08: Mandatory null
['cls_dt', 'bsn_code_id', 'psbk_no', 'neg_cmpd_frq_unit', 'eff_int_rate_tp_id']
TS12: thai encoding - from source - order 2024-03-24</t>
  </si>
  <si>
    <t>persist_pcb_dep.pcb_dep_src_pf_ar_fx_dly</t>
  </si>
  <si>
    <t>TS12: thai encoding - from source - order 2024-03-24
[25 Mar 24 Warm]
- All format DATE, TIMESTAMP incorrect
Spec - timestamp : yyyy-MM-dd HH:mm:ss
Data : yyyyMMdd
[Kate] 
- Check Data : ภาษาไทย Eban สามารถแสดงผลได้ตามปกติ
- TC12 :  Field src_pos_dt,opn_dt,eff_dt,mat_dt,last_cst_avy_dt,last_int_pymt_dt แสดงปี คศ เป็น 1400-01-01T00:00:00+07:00</t>
  </si>
  <si>
    <t>[26-Mar] EBAN Team agreed to refer spec for date datatype as data source (Convert spec from timestamp to date yyyyMMdd)</t>
  </si>
  <si>
    <t>persist_pcb_dep.pcb_dep_src_pf_ar_sf_dly</t>
  </si>
  <si>
    <t>TS12: thai encoding - from source - order 2024-03-24</t>
  </si>
  <si>
    <t>persist_pcb_dep.pcb_dep_src_pf_txn_mis_eft_dly</t>
  </si>
  <si>
    <t>TS08: Mandatory null
['fm_ar_id', 'txn_tel_fee', 'fm_ar_domc_br_no', 'fm_coa_pd_ftr_code', 'eft_chk_nbr']
TS12: thai encoding - from source - order 2024-03-24</t>
  </si>
  <si>
    <t>persist_pcb_dep.pcb_dep_cls500029</t>
  </si>
  <si>
    <r>
      <rPr>
        <sz val="11"/>
        <color rgb="FF000000"/>
        <rFont val="Aptos Narrow"/>
        <scheme val="minor"/>
      </rPr>
      <t xml:space="preserve">[1 April] All TS passed; except TS12 Thai language
[28-Mar] No header and footer, but header and footer are specified in job config </t>
    </r>
    <r>
      <rPr>
        <sz val="11"/>
        <color rgb="FFFF0000"/>
        <rFont val="Aptos Narrow"/>
        <scheme val="minor"/>
      </rPr>
      <t xml:space="preserve">=&gt; Source to confirm
</t>
    </r>
    <r>
      <rPr>
        <sz val="11"/>
        <color rgb="FF000000"/>
        <rFont val="Aptos Narrow"/>
        <scheme val="minor"/>
      </rPr>
      <t xml:space="preserve">
Control File Record Count is not equal to spark dataframe record count
[1-April M] Fixed jobconfig (header/tailer)
</t>
    </r>
  </si>
  <si>
    <t>persist_pcb_dep.pcb_dep_src_pf_ar_ca_cr_inf_dly</t>
  </si>
  <si>
    <t>UnicodeError: 'utf-8' codec can't decode byte 0xb9 in position 979: invalid start byte</t>
  </si>
  <si>
    <t>persist_pcb_dep.pcb_dep_src_pf_ar_ca_limit_dly</t>
  </si>
  <si>
    <t>persist_pcb_loan.pcb_loan_common_limit_info</t>
  </si>
  <si>
    <t>TS08 Mandatory null
['ar_nm_th']</t>
  </si>
  <si>
    <t>persist_pcb_loan.pcb_loan_common_market_code</t>
  </si>
  <si>
    <t>persist_pcb_loan.pcb_loan_common_rate_type</t>
  </si>
  <si>
    <t>persist_pcb_loan.pcb_loan_common_account_tier_by_time</t>
  </si>
  <si>
    <t>persist_pcb_loan.pcb_loan_common_sub_type</t>
  </si>
  <si>
    <t>persist_pcb_loan.pcb_loan_common_loan_purpose_table</t>
  </si>
  <si>
    <t>persist_pcb_loan.pcb_loan_common_transaction_file</t>
  </si>
  <si>
    <t>TS08 Mandatory null ['ahr_lvl_id']
[28-Mar] EBAN confirmed that on EBAN production have null value for field 'ahr_lvl_id'
Test result : TS08 will be failed</t>
  </si>
  <si>
    <t>[25-Mar] EBAN confirmed that on prodution have null value for field 'entity_id'
Test result : TS08 will be failed</t>
  </si>
  <si>
    <t>[26 Mar]
CBR format - yyyy-MM-dd HH:mm:ss.SSS
Source data - yyyy-MM-dd HH:mm:ss.SSSSSS</t>
  </si>
  <si>
    <t>[27-Mar]  EBAN Team agreed to align format by Data file for 2 fields dtecreatedate,dteupddate(yyyy-MM-dd HH:mm:ss.SSSSSS)</t>
  </si>
  <si>
    <t>Mismatch data layout
- Data source 16/ KBMF 16/ CBR EBAN 15
&gt;&gt; EBAN Team agreed to align spec by CBR EBAN
TS03: num col mismatch
TS04: col name mismatch</t>
  </si>
  <si>
    <t>[21-Mar] EBAN Team agreed to align table structure by CBR EBAN 15 fields (diff with data 1 field 'app_date')
Test result : TS03, TS04, TS12 will be failed
check date column??</t>
  </si>
  <si>
    <t>TS05: datatype mismatch
TS12: date and timestamp field
- All format DATE, TIMESTAMP incorrect
Spec : yyyyMMdd HHmmss
Data : yyyy-MM-dd HH:mm:ss, yyyy-MM-dd HH:mm:ss.SSSSSS</t>
  </si>
  <si>
    <t>[28-Mar] Updated Data Type+ Format for Target table for 4 fields to Timestamp
- effective_date_of_transfer
- extraction_date
- dividend_processing_date
- bookclosingdate</t>
  </si>
  <si>
    <t>rmst</t>
  </si>
  <si>
    <t>persist_rmst.rmst_customer</t>
  </si>
  <si>
    <t>Plan A: Source File (Pull)</t>
  </si>
  <si>
    <t>2024-03-14</t>
  </si>
  <si>
    <r>
      <rPr>
        <sz val="11"/>
        <color rgb="FF000000"/>
        <rFont val="Aptos Narrow"/>
        <scheme val="minor"/>
      </rPr>
      <t xml:space="preserve">RMST initial data : 2024-03-14, 2024-03-15, 2024-03-16, </t>
    </r>
    <r>
      <rPr>
        <b/>
        <sz val="11"/>
        <color rgb="FF000000"/>
        <rFont val="Aptos Narrow"/>
        <scheme val="minor"/>
      </rPr>
      <t>2024-03-17 (fixed)</t>
    </r>
    <r>
      <rPr>
        <sz val="11"/>
        <color rgb="FF000000"/>
        <rFont val="Aptos Narrow"/>
        <scheme val="minor"/>
      </rPr>
      <t xml:space="preserve"> , 2024-03-18 (fixed)
[27-Mar] run on-going on pos_dt: 2024-03-15 - source is not equal to control file
- Source: 1019430, Control: 1019429</t>
    </r>
  </si>
  <si>
    <t>RMST initial data : 2024-03-14, 2024-03-15, 2024-03-16, 2024-03-17 (fixed) , 2024-03-18 (fixed)</t>
  </si>
  <si>
    <t>persist_cardlink.cardlink_odscc_ccv2_jcb</t>
  </si>
  <si>
    <t>EBAN-IN</t>
  </si>
  <si>
    <t>HRCRC</t>
  </si>
  <si>
    <t>persist_hrcrc.hrcrc_vc_rc_cd</t>
  </si>
  <si>
    <t>lpm_as400</t>
  </si>
  <si>
    <t>persist_lpm_as400.lpm_as400_lmt_ar_inf_bfr_wrtof</t>
  </si>
  <si>
    <t>persist_lpm_as400.lpm_as400_ar_wrtof_rcv</t>
  </si>
  <si>
    <t>persist_lpm_as400.lpm_as400_ln_cntg_dmmy_clss_prvn</t>
  </si>
  <si>
    <t>persist_lpm_as400.lpm_as400_ln_card_clss_prvn</t>
  </si>
  <si>
    <t>persist_lpm_as400.lpm_as400_ln_cntg_clss_prvn</t>
  </si>
  <si>
    <t>persist_lpm_as400.lpm_as400_ar_clss_qly</t>
  </si>
  <si>
    <t>persist_lpm_as400.lpm_as400_ln_cntg_clss_prvn_bfr_wrtof</t>
  </si>
  <si>
    <t>persist_lpm_as400.lpm_as400_lmt_inf_bfr_wrtof</t>
  </si>
  <si>
    <t>Details for Count of Persist Table Name - Note: Framework need enhances, Batch3: TRUE</t>
  </si>
  <si>
    <t>Details for Count of Persist Table Name - Note: [1 April] 
Investigate, Batch3: TRUE</t>
  </si>
  <si>
    <t>[1-April] 
- To enhance TS05 : number(10) &gt;&gt; expected_result bigint
- To enhance TS11: sum record
- EBAN confirmed that on EBAN production have null value for fields 'last_int_pymt_dt', 'last_pnp_pymt_dt', 'nxt_int_pymt_dt'
Test result : TS08 will be failed
[26 Mar] 
TS08 Mandatory null
['last_int_pymt_dt', 'last_pnp_pymt_dt', 'nxt_int_pymt_dt']
[Fixed] INGT_SIT_0062: A column or function parameter with name `dpd-prin` cannot be resolved</t>
  </si>
  <si>
    <t xml:space="preserve">[28-Mar Tee] raw DDL column name should be same as source column name when source header column flag is "Y", ingestion spec also; =&gt; Pending to confirm with source (rectype and rcrd_tp)
[27-Mar] Extraction config and ingestion config are not correct. Date is specified in filename. Should be KA_FundCode_YYYYMMDD.txt
[29-Mar M] Update diffrent filter columns (transform_to_raw_task) now </t>
  </si>
  <si>
    <t>[28-Mar Tee] Schema is already correct, format in ingest spec is not correct yet.
Ex. of Date data: 2024-03-19 00:00:00, Timestamp data: 2024-03-15 01:12:55.605384</t>
  </si>
  <si>
    <t>[29-Mar] CBR + Iinit + spec mapping (Fixed) : Updated date, timestamp format yyyy-MM-dd HH:mm:ss and yyyy-MM-dd HH:mm:ss.SSSSSS to be aligned with source data file and change to timestamp for all date in target table
Update MDP CBR align from KBMF
data xx/ KBMF 32 / CBR 32 (sequence is different between CBR and KBMF)
[27-Mar] Update CBR to align with KBMF source and fixed init, spec</t>
  </si>
  <si>
    <t>[1 Apr] TS4,TS11,TS12 failed
-Sum record
[28-Mar] Updated date format (yyyyMMdd) to be aligned with data file
[22-Mar] Update CBE Foundateion (Reference : CBR_VP_CMB_DEAL_AR_DTL_MO_v0.1)
Aligned with source  and CBR EBAN 125 Fields</t>
  </si>
  <si>
    <t>TRUE</t>
  </si>
  <si>
    <t>Count of Persist Table Name</t>
  </si>
  <si>
    <t>-1 file Kplus (pending Key)</t>
  </si>
  <si>
    <t>(blank)</t>
  </si>
  <si>
    <t>+ 1 file Kplus (pending Key)</t>
  </si>
  <si>
    <t>Grand Total</t>
  </si>
  <si>
    <t>Not Start Total</t>
  </si>
  <si>
    <t>Ready to execute Total</t>
  </si>
  <si>
    <t>Failed Total</t>
  </si>
  <si>
    <t>persist_cis.cis_ipxar</t>
  </si>
  <si>
    <t>persist_cis.cis_ip</t>
  </si>
  <si>
    <t>persist_cis.cis_ar</t>
  </si>
  <si>
    <t>persist_cis.cis_relar</t>
  </si>
  <si>
    <t>persist_cis.cis_doctp</t>
  </si>
  <si>
    <t>persist_cis.cis_cntreltp</t>
  </si>
  <si>
    <t>persist_cis.cis_ipxcontact</t>
  </si>
  <si>
    <t>persist_cis.cis_conttp</t>
  </si>
  <si>
    <t>persist_cis.cis_continfo</t>
  </si>
  <si>
    <t>persist_cis.cis_idv</t>
  </si>
  <si>
    <t>persist_cis.cis_org</t>
  </si>
  <si>
    <t>persist_cis.cis_ipsegment</t>
  </si>
  <si>
    <t>persist_cis.cis_histsegm</t>
  </si>
  <si>
    <t>persist_cis.cis_addr</t>
  </si>
  <si>
    <t>persist_cis.cis_ipxaddr</t>
  </si>
  <si>
    <t>persist_cis.cis_dntcnt</t>
  </si>
  <si>
    <t>persist_cis.cis_othdoc</t>
  </si>
  <si>
    <t>persist_csm.csm_custxformxconsent</t>
  </si>
  <si>
    <t>persist_csm.csm_formxappr</t>
  </si>
  <si>
    <t>persist_csm.csm_channel</t>
  </si>
  <si>
    <t>persist_csm.csm_originateproductcoa</t>
  </si>
  <si>
    <t>persist_csm.csm_originateproductnoncoa</t>
  </si>
  <si>
    <t>persist_csm.csm_purpose</t>
  </si>
  <si>
    <t>persist_csm.csm_company</t>
  </si>
  <si>
    <t>persist_csm.csm_receivertype</t>
  </si>
  <si>
    <t>persist_csm.csm_formconsent</t>
  </si>
  <si>
    <t>persist_csm.csm_formxcontent</t>
  </si>
  <si>
    <t>persist_csm.csm_action</t>
  </si>
  <si>
    <t>persist_csm.csm_product</t>
  </si>
  <si>
    <t>persist_csm.csm_downstreamrules</t>
  </si>
  <si>
    <t>persist_csm.csm_downstreamconfig</t>
  </si>
  <si>
    <t>persist_csm.csm_custxformxconsentlog</t>
  </si>
  <si>
    <t>persist_csm.csm_custxformxconsentderived</t>
  </si>
  <si>
    <t>persist_csm.csm_custxformxconsentderivedlog</t>
  </si>
  <si>
    <t>persist_rdm.rdm_cst_ip_lgl_stc_tp_cd</t>
  </si>
  <si>
    <t>persist_rdm.rdm_cst_nat_cd</t>
  </si>
  <si>
    <t>persist_rdm.rdm_cst_mar_st_cd</t>
  </si>
  <si>
    <t>persist_rdm.rdm_cst_ctf_tp_cd</t>
  </si>
  <si>
    <t>persist_rdm.rdm_cst_ocp_cd</t>
  </si>
  <si>
    <t>persist_rdm.rdm_cst_prof_cd</t>
  </si>
  <si>
    <t>persist_rdm.rdm_cst_idv_incm_seg_cd</t>
  </si>
  <si>
    <t>persist_rdm.rdm_cst_seg_cd</t>
  </si>
  <si>
    <t>persist_rdm.rdm_card_tp_cd</t>
  </si>
  <si>
    <t>persist_rdm.rdm_pim_coa_pd</t>
  </si>
  <si>
    <t>persist_rdm.rdm_idy_cl_cd</t>
  </si>
  <si>
    <t>persist_rdm.rdm_idy_cl_sub_grp_cd</t>
  </si>
  <si>
    <t>persist_ccms.ccms_bda772n2_cardholder_full_dih_enc</t>
  </si>
  <si>
    <t>persist_ccms.ccms_bda772n4_cardregister</t>
  </si>
  <si>
    <t>persist_ccms.ccms_bp772n1_cardholder_purge</t>
  </si>
  <si>
    <t>persist_ccms.ccms_bda772n5_listcardtype</t>
  </si>
  <si>
    <t>persist_lpm_as400.lpm_as400_lpm_x_ip_rel</t>
  </si>
  <si>
    <t>All</t>
  </si>
  <si>
    <t>PlanA</t>
  </si>
  <si>
    <t>PlanB</t>
  </si>
  <si>
    <t>issue</t>
  </si>
  <si>
    <t>Pull DB</t>
  </si>
  <si>
    <t>extraction config</t>
  </si>
  <si>
    <t>Incorrect spec from EBAN</t>
  </si>
  <si>
    <t>Mismatch source data layout
Mandatory null
UnicodeDecode</t>
  </si>
  <si>
    <t>Pass</t>
  </si>
  <si>
    <t>UnicodeDecode</t>
  </si>
  <si>
    <t>UnicodeDecode
Mandatory null</t>
  </si>
  <si>
    <t>Fon</t>
  </si>
  <si>
    <t>Source File name</t>
  </si>
  <si>
    <t>enconding</t>
  </si>
  <si>
    <t>UTF8</t>
  </si>
  <si>
    <t>ANSI</t>
  </si>
  <si>
    <t>TIS-620</t>
  </si>
  <si>
    <t>Source File name/Table name</t>
  </si>
  <si>
    <t>cis</t>
  </si>
  <si>
    <t>CIS_IPXAR_YYYYMMDD.txt</t>
  </si>
  <si>
    <t>CIS_IP_YYYYMMDD.txt</t>
  </si>
  <si>
    <t>CIS_AR_YYYYMMDD.txt</t>
  </si>
  <si>
    <t>CIS_RELAR_YYYYMMDD.txt</t>
  </si>
  <si>
    <t>CIS_DOCTP_YYYYMMDD.txt</t>
  </si>
  <si>
    <t>CIS_CNTRELTP_YYYYMMDD.txt</t>
  </si>
  <si>
    <t>CIS_IPXCONTACT_YYYYMMDD.txt</t>
  </si>
  <si>
    <t>CIS_CONTTP_YYYYMMDD.txt</t>
  </si>
  <si>
    <t>CIS_CONTINFO_YYYYMMDD.txt</t>
  </si>
  <si>
    <t>CIS_IDV_YYYYMMDD.txt</t>
  </si>
  <si>
    <t>CIS_ORG_YYYYMMDD.txt</t>
  </si>
  <si>
    <t>CIS_IPSEGMENT_YYYYMMDD.txt</t>
  </si>
  <si>
    <t>CIS_HISTSEGM_YYYYMMDD.txt</t>
  </si>
  <si>
    <t>CIS_ADDR_YYYYMMDD.txt</t>
  </si>
  <si>
    <t>CIS_IPXADDR_YYYYMMDD.txt</t>
  </si>
  <si>
    <t>CIS_DNTCNT_YYYYMMDD.txt</t>
  </si>
  <si>
    <t>CIS_OTHDOC_YYYYMMDD.txt</t>
  </si>
  <si>
    <t>csm</t>
  </si>
  <si>
    <t>CSM_CUSTXFORMXCONSENT_YYYYMMDD.TXT</t>
  </si>
  <si>
    <t>CSM_FORMXAPPR_YYYYMMDD.TXT</t>
  </si>
  <si>
    <t>CSM_CHANNEL_YYYYMMDD.TXT</t>
  </si>
  <si>
    <t>CSM_ORIGINATEPRODUCTCOA_YYYYMMDD.TXT</t>
  </si>
  <si>
    <t>CSM_ORIGINATEPRODUCTNONCOA_YYYYMMDD.TXT</t>
  </si>
  <si>
    <t>CSM_PURPOSE_YYYYMMDD.TXT</t>
  </si>
  <si>
    <t>CSM_COMPANY_YYYYMMDD.TXT</t>
  </si>
  <si>
    <t>CSM_RECEIVERTYPE_YYYYMMDD.TXT</t>
  </si>
  <si>
    <t>CSM_FORMCONSENT_YYYYMMDD.TXT</t>
  </si>
  <si>
    <t>CSM_FORMXCONTENT_YYYYMMDD.TXT</t>
  </si>
  <si>
    <t>CSM_ACTION_YYYYMMDD.TXT</t>
  </si>
  <si>
    <t>CSM_PRODUCT_YYYYMMDD.TXT</t>
  </si>
  <si>
    <t>CSM_DOWNSTREAMRULES_YYYYMMDD.TXT</t>
  </si>
  <si>
    <t>CSM_DOWNSTREAMCONFIG_YYYYMMDD.TXT</t>
  </si>
  <si>
    <t>CSM_CUSTXFORMXCONSENTLOG_YYYYMMDD.TXT</t>
  </si>
  <si>
    <t>CSM_CUSTXFORMXCONSENTDERIVED_YYYYMMDD.TXT</t>
  </si>
  <si>
    <t>CSM_CUSTXFORMXCONSENTDERIVEDLOG_YYYYMMDD.TXT</t>
  </si>
  <si>
    <t>rdm</t>
  </si>
  <si>
    <t>rdm_cst_ip_lgl_stc_tp_cd_YYYYMMDD.txt</t>
  </si>
  <si>
    <t>rdm_cst_nat_cd_YYYYMMDD.txt</t>
  </si>
  <si>
    <t>rdm_cst_mar_st_cd_YYYYMMDD.txt</t>
  </si>
  <si>
    <t>rdm_cst_ctf_tp_cd_YYYYMMDD.txt</t>
  </si>
  <si>
    <t>rdm_cst_ocp_cd_YYYYMMDD.txt</t>
  </si>
  <si>
    <t>rdm_cst_prof_cd_YYYYMMDD.txt</t>
  </si>
  <si>
    <t>rdm_cst_idv_incm_seg_cd_YYYYMMDD.txt</t>
  </si>
  <si>
    <t>rdm_cst_seg_cd_YYYYMMDD.txt</t>
  </si>
  <si>
    <t>rdm_card_tp_cd_YYYYMMDD.txt</t>
  </si>
  <si>
    <t>rdm_pim_coa_pd_YYYYMMDD.txt</t>
  </si>
  <si>
    <t>rdm_idy_cl_cd_YYYYMMDD.txt</t>
  </si>
  <si>
    <t>rdm_idy_cl_sub_grp_cd_YYYYMMDD.txt</t>
  </si>
  <si>
    <t>SalesSmart_Customer_yyyyMMdd.txt</t>
  </si>
  <si>
    <t>ccms</t>
  </si>
  <si>
    <t>ccms_bda772n2_cardholder_full_dih_enc_YYYYMMDD.txt</t>
  </si>
  <si>
    <t>ccms_bda772n4_cardregister_YYYYMMDD.txt</t>
  </si>
  <si>
    <t>ccms_bp772n1_cardholder_purge_YYYYMMDD.txt</t>
  </si>
  <si>
    <t>ccms_bda772n5_listcardtype_YYYYMMDD.txt</t>
  </si>
  <si>
    <t xml:space="preserve">lpm_x_ip_rel_yyyymmdd.txt </t>
  </si>
  <si>
    <t>FCD_AR_YYYYMMDD.txt</t>
  </si>
  <si>
    <t>MXMKTEvent_YYYYMMDD.txt</t>
  </si>
  <si>
    <t>MMLiveMat_YYYYMMDD.txt</t>
  </si>
  <si>
    <t>src_murx_deal_ar_yyyymmdd.txt</t>
  </si>
  <si>
    <t>Report_Limit_Ctp_Funded_ForInt_YYYYMMDD.txt</t>
  </si>
  <si>
    <t>Report_Limit_PSE_ForInt_YYYYMMDD.txt</t>
  </si>
  <si>
    <t>Report_Limit_SE_ForInt_YYYYMMDD.txt</t>
  </si>
  <si>
    <t>Reset_LP_Ctp_Funded_ForInt_YYYYMMDD.txt</t>
  </si>
  <si>
    <t>Reset_MPLCDE_ForInt_YYYYMMDD.txt</t>
  </si>
  <si>
    <t>MXLimitEffective_YYYYMMDD.txt</t>
  </si>
  <si>
    <t>KBGT_CONT_OUTSTANDING_YYYYMMDD.TXT</t>
  </si>
  <si>
    <t>KBGT_LOAN_OUTSTANDING_YYYYMMDD.TXT</t>
  </si>
  <si>
    <t>DBTTNREL_YYYYMMDD.TXT</t>
  </si>
  <si>
    <t>KBGT_LIMIT_YYYYMMDD.TXT</t>
  </si>
  <si>
    <t>DBTL4xL6_YYYYMMDD.TXT</t>
  </si>
  <si>
    <t>KBGT_LIMIT_ALLOCATED_YYYYMMDD.TXT</t>
  </si>
  <si>
    <t>src_pf_ar_sa_dly_yyyymmdd.txt</t>
  </si>
  <si>
    <t>src_pf_ar_ca_dly_yyyymmdd.txt</t>
  </si>
  <si>
    <t>src_pf_ar_fx_dly_yyyymmdd.txt</t>
  </si>
  <si>
    <t>src_pf_ar_sf_dly_yyyymmdd.txt</t>
  </si>
  <si>
    <t>PCB_DIH_ExtRATE1_YYYYMMDD.txt</t>
  </si>
  <si>
    <t>CISP.CB2D0005.ODENCITD.SAM_YYYYMMDD</t>
  </si>
  <si>
    <t>src_pf_txn_mis_eft_dly_yyyymmdd.txt</t>
  </si>
  <si>
    <t>cls500029_yyyymmdd.txt</t>
  </si>
  <si>
    <t>SRC_PF_AR_CA_CR_INF_DLY_yyyymmdd.txt</t>
  </si>
  <si>
    <t>src_pf_ar_ca_limit_dly_yyyymmdd.txt</t>
  </si>
  <si>
    <t>Common_Account_Info_YYYYMMDD.txt</t>
  </si>
  <si>
    <t>Common_Limit_Info_YYYYMMDD.txt</t>
  </si>
  <si>
    <t>Common_Market_Code_YYYYMMDD.txt</t>
  </si>
  <si>
    <t>Common_Rate_Type.txt</t>
  </si>
  <si>
    <t>Common_Account_Tier_By_Time.txt</t>
  </si>
  <si>
    <t>Common_Product_Type.txt</t>
  </si>
  <si>
    <t>Common_Sub_Type.txt</t>
  </si>
  <si>
    <t>Common_Loan_Purpose_Table_yyyymmdd.txt</t>
  </si>
  <si>
    <t>common_transaction file.txt</t>
  </si>
  <si>
    <t>LCR070_YYYYMMDD.txt</t>
  </si>
  <si>
    <t>SRC_EXIMAR_YYYYMMDD.TXT</t>
  </si>
  <si>
    <t>CPACP.DIH.KB1DH013.EPTRANS.Dddmmyy.txt</t>
  </si>
  <si>
    <t>CPACP.DIH.KB1DH045.CC1D289G.Dddmmyy.txt</t>
  </si>
  <si>
    <t>CPACP.DIH.KB1DH002.CPBCRD.D%%TRANDATE.txt</t>
  </si>
  <si>
    <t>CPACP.DIH.KB1DH005.KBBCRD.D%%TRANDATE.txt</t>
  </si>
  <si>
    <t>CPACP.DIH.KB1DH023.LBPTTRN.Dddmmyy.TXT</t>
  </si>
  <si>
    <t>CPACP.DIH.KB1DH039.CCND5012.Dddmmyy.TXT</t>
  </si>
  <si>
    <t>CPACP.DIH.KB1DH017.CPAMT.Dddmmyy.TXT</t>
  </si>
  <si>
    <t>CPACP.DIH.KB1DH019.CC1T377.Dddmmyy.txt</t>
  </si>
  <si>
    <t>CPACP.DIH.KB1DH018.CPSRPTT.Dddmmyy.TXT</t>
  </si>
  <si>
    <t>CPACP.DIH.KB1DH037.CPCCPF.Dddmmyy.TXT</t>
  </si>
  <si>
    <t>CPACP.DIH.KB1DH003.CPBCUS.D%%TRANDATE</t>
  </si>
  <si>
    <t>CPACP.DIH.KB1DH006.KBBCUS.D%%TRANDATE</t>
  </si>
  <si>
    <t>CPACP.DIH.KB1DH028.CCIXPT.Dddmmyy.TXT</t>
  </si>
  <si>
    <t>CPACP.DIH.KB1DH029.CCATABLA.Dddmmyy.TXT</t>
  </si>
  <si>
    <t>CPACP.DIH.KB1DH030.CUPTRAN.Dddmmyy.TXT</t>
  </si>
  <si>
    <t>CPACP.DIH.KB1DH031.CC1D583B.Dddmmyy.TXT</t>
  </si>
  <si>
    <t>CPACP.DIH.KB1DH001.CP1T170.Dddmmyy.TXT</t>
  </si>
  <si>
    <t>CPACP.DIH.KB1DH007.CPAHF.D%%TRANDATE</t>
  </si>
  <si>
    <t>CPACP.DIH.KB1DH011.CC1D2027.Dddmmyy</t>
  </si>
  <si>
    <t>CPACP.DIH.KB1DH012.CPCAH.Dddmmyy</t>
  </si>
  <si>
    <t>CPACP.DIH.KB1DH014.CC1DMPGL.Dddmmyy</t>
  </si>
  <si>
    <t>CPACP.DIH.KB1DH020.CC1D582D.Dddmmyy.TXT</t>
  </si>
  <si>
    <t>CPACP.DIH.KB1DH021.CC1D582S.Dddmmyy.TXT</t>
  </si>
  <si>
    <t>CPACP.DIH.KB1DH022.OADCC32.Dddmmyy.TXT</t>
  </si>
  <si>
    <t>CPACP.DIH.KB1DH024.CC1D560.Dddmmyy.TXT</t>
  </si>
  <si>
    <t>CPACP.DIH.KB1DH025.CPCAH.Dddmmyy.TXT</t>
  </si>
  <si>
    <t>CPACP.DIH.KB1DH032.ADDTYPE</t>
  </si>
  <si>
    <t>CPACP.LA10S.OATKN.OUTBOUND</t>
  </si>
  <si>
    <t>CPACP.DIH.KB1DH037.CPTCPF.Dddmmyy.TXT</t>
  </si>
  <si>
    <t>CPACP.DIH.KB1DH038.CC1D5012.Dddmmyy.TXT</t>
  </si>
  <si>
    <t>CLCBP.DIH.LB1DH002.LBCRD.D%%TRANDATE</t>
  </si>
  <si>
    <t>CPACP.DIH.CI1D1166.CRDHD.Dddmmyy.TXT</t>
  </si>
  <si>
    <t>CPACP.DIH.CI1D1178.CRDREG.Dddmmyy.TXT</t>
  </si>
  <si>
    <t>CPACP.DIH.CI1D1167.CARDTYPE.Dddmmyy.TXT</t>
  </si>
  <si>
    <t>FACT_ACCT_YYYYMMDD.txt</t>
  </si>
  <si>
    <t>MIDRATE_KBANK_YYYY-MM-DD.csv</t>
  </si>
  <si>
    <t>HRIS_STAFF_ACCNT_%Y%m%d.txt</t>
  </si>
  <si>
    <t>KSecFundMaster_YYYYMMDD.txt</t>
  </si>
  <si>
    <t>KSecFundPortfolio_YYYYMMDD.txt</t>
  </si>
  <si>
    <t>KSecCustProfile_YYYYMMDD.txt</t>
  </si>
  <si>
    <t>LECP.LEC3D18.TXT</t>
  </si>
  <si>
    <t>PSCP.WO.WO1D04H.SAM</t>
  </si>
  <si>
    <t>KA_FundCode.txt</t>
  </si>
  <si>
    <t>PrivateFund_Balance.txt</t>
  </si>
  <si>
    <t>kplus_jmobileactlog_log_yyyymmdd.txt</t>
  </si>
  <si>
    <t>kplus_view_jmobile_log_YYYYMMDD.txt</t>
  </si>
  <si>
    <t>kplus_view_jmobileacctcard_log_YYYYMMDD.txt</t>
  </si>
  <si>
    <t>kplus_view_balancealertreglog_log_YYYYMMDD.txt</t>
  </si>
  <si>
    <t>kplus_actlog_qlocal_yyyymmdd.txt</t>
  </si>
  <si>
    <t>kplus_odsmbl_mbl_fnc_txn_YYYYMMDD.txt</t>
  </si>
  <si>
    <t>kplus_view_simbankbankinfo_log_YYYYMMDD.txt</t>
  </si>
  <si>
    <t>pcb_dep_deptxn_db_YYYYMMDD.txt</t>
  </si>
  <si>
    <t>dgtl_fctrng_v_purref_YYYYMMDD.txt</t>
  </si>
  <si>
    <t>dgtl_fctrng_v_clientdebtor_YYYYMMDD.txt</t>
  </si>
  <si>
    <t>dgtl_fctrng_v_product_YYYYMMDD.txt</t>
  </si>
  <si>
    <t>dgtl_fctrng_v_company_YYYYMMDD.txt</t>
  </si>
  <si>
    <t>dgtl_fctrng_v_clientlimit_YYYYMMDD.txt</t>
  </si>
  <si>
    <t>dgtl_fctrng_v_cis_YYYYMMDD.txt</t>
  </si>
  <si>
    <t>dgtl_fctrng_v_interestspread_YYYYMMDD.txt</t>
  </si>
  <si>
    <t>scf_vw_sct_book_loan_YYYYMMDD.txt</t>
  </si>
  <si>
    <t>scf_vw_rdt_scf_cl_YYYYMMDD.txt</t>
  </si>
  <si>
    <t>scf_vw_cm_fee_structure_YYYYMMDD.txt</t>
  </si>
  <si>
    <t>scf_vw_scm_acct_YYYYMMDD.txt</t>
  </si>
  <si>
    <t>scf_trading_YYYYMMDD.txt</t>
  </si>
  <si>
    <t>scf_customer_YYYYMMDD.txt</t>
  </si>
  <si>
    <t>scf_product_map_YYYYMMDD.txt</t>
  </si>
  <si>
    <t>scf_vw_rdt_scf_cl_acct_YYYYMMDD.txt</t>
  </si>
  <si>
    <t>scf_trading_acct_YYYYMMDD.txt</t>
  </si>
  <si>
    <t>ud_vw_t_su_sub_uh_ful_YYYYMMDD.txt</t>
  </si>
  <si>
    <t>ud_vw_kgroup_sidetexttbl_YYYYMMDD.txt</t>
  </si>
  <si>
    <t>ud_vw_fi_fnd_inf_ful_YYYYMMDD.txt</t>
  </si>
  <si>
    <t>ud_vw_flt_rl_sub_bal_enq_YYYYMMDD.txt</t>
  </si>
  <si>
    <t>ud_vw_t_uh_uh_ful_YYYYMMDD.txt</t>
  </si>
  <si>
    <t>ud_vw_flt_div_pmt_inc_YYYYMMDD.txt</t>
  </si>
  <si>
    <t>ud_vw_transactionext_YYYYMMDD.txt</t>
  </si>
  <si>
    <t>ud_vw_transactioneodext_YYYYMMDD.txt</t>
  </si>
  <si>
    <t>ud_vw_flt_dp_div_cert_inc_YYYYMMDD.txt</t>
  </si>
  <si>
    <t>File name/Table name</t>
  </si>
  <si>
    <t>Target Schema Name</t>
  </si>
  <si>
    <t>Target Table Name (Persist)</t>
  </si>
  <si>
    <t>cc</t>
  </si>
  <si>
    <t>persist_cardlink</t>
  </si>
  <si>
    <t>cardlink_kb1dh028_ccixpt</t>
  </si>
  <si>
    <t>cardlink_kb1dh029_ccatabla</t>
  </si>
  <si>
    <t>cardlink_kb1dh030_cuptran</t>
  </si>
  <si>
    <t>cardlink_kb1dh001_cp1t170_01</t>
  </si>
  <si>
    <t>cardlink_kb1dh012_cpcah</t>
  </si>
  <si>
    <t>cardlink_kb1dh020_cc1d582d</t>
  </si>
  <si>
    <t>cardlink_kb1dh021_cc1d582s</t>
  </si>
  <si>
    <t>cardlink_kb1dh022_oadcc32</t>
  </si>
  <si>
    <t>cardlink_kb1dh024_cc1d560</t>
  </si>
  <si>
    <t>cardlink_kb1dh032_addtype</t>
  </si>
  <si>
    <t>cardlink_la10s_oatkn</t>
  </si>
  <si>
    <t>cardlink_kb1dh001_cp1t170_02</t>
  </si>
  <si>
    <t>CPACP.DIH.KB1DH004.CPBMER.Dddmmyy.txt</t>
  </si>
  <si>
    <t>cardlink_kb1dh004_cpbmer</t>
  </si>
  <si>
    <t>CPACP.DIH.KB1DH009.KBBMER.DDDMMYY</t>
  </si>
  <si>
    <t>cardlink_kb1dh009_kbbmer</t>
  </si>
  <si>
    <t>CPACP.DIH.KB1DH010.OADCTF.DDDMMYY</t>
  </si>
  <si>
    <t>cardlink_kb1dh010_oadctf</t>
  </si>
  <si>
    <t>POS_DATE</t>
  </si>
  <si>
    <t>STATUS EXTRACTION</t>
  </si>
  <si>
    <t>STATUS RUNJOB</t>
  </si>
  <si>
    <t>LINKED</t>
  </si>
  <si>
    <t>REMAKED</t>
  </si>
  <si>
    <t>In Progress</t>
  </si>
  <si>
    <t>cis_addr</t>
  </si>
  <si>
    <t>Count of Source File name/Table name</t>
  </si>
  <si>
    <t>cis_ar</t>
  </si>
  <si>
    <t>cis_cntreltp</t>
  </si>
  <si>
    <t>cis_continfo</t>
  </si>
  <si>
    <t>cis_conttp</t>
  </si>
  <si>
    <t>cis_dntcnt</t>
  </si>
  <si>
    <t>cis_doctp</t>
  </si>
  <si>
    <t>cis_histsegm</t>
  </si>
  <si>
    <t>lpm-as400</t>
  </si>
  <si>
    <t>cis_idv</t>
  </si>
  <si>
    <t>cis_ip</t>
  </si>
  <si>
    <t>cis_ipsegment</t>
  </si>
  <si>
    <t>cis_ipxaddr</t>
  </si>
  <si>
    <t>cis_ipxar</t>
  </si>
  <si>
    <t>cis_ipxcontact</t>
  </si>
  <si>
    <t>lpm-wrtoff</t>
  </si>
  <si>
    <t>cis_org</t>
  </si>
  <si>
    <t>cis_othdoc</t>
  </si>
  <si>
    <t>cis_relar</t>
  </si>
  <si>
    <t>csm_action</t>
  </si>
  <si>
    <t>hrcrc</t>
  </si>
  <si>
    <t>csm_channel</t>
  </si>
  <si>
    <t>csm_company</t>
  </si>
  <si>
    <t>csm_custxformxconsent</t>
  </si>
  <si>
    <t>csm_custxformxconsentderived</t>
  </si>
  <si>
    <t xml:space="preserve">https://adb-1225054441296002.2.azuredatabricks.net/?o=1225054441296002#job/847414196180011/run/208058610995029
</t>
  </si>
  <si>
    <t>Failed dependency checking: The job is not ready due to failures in prerequisite jobs.</t>
  </si>
  <si>
    <t>csm_custxformxconsentderivedlog</t>
  </si>
  <si>
    <t xml:space="preserve">https://adb-1225054441296002.2.azuredatabricks.net/?o=1225054441296002#job/847414196180011/run/677383381515210
</t>
  </si>
  <si>
    <t>csm_custxformxconsentlog</t>
  </si>
  <si>
    <t xml:space="preserve">https://adb-1225054441296002.2.azuredatabricks.net/?o=1225054441296002#job/847414196180011/run/11022580495261
</t>
  </si>
  <si>
    <t>csm_downstreamconfig</t>
  </si>
  <si>
    <t>csm_downstreamrules</t>
  </si>
  <si>
    <t>csm_formconsent</t>
  </si>
  <si>
    <t>csm_formxappr</t>
  </si>
  <si>
    <t>csm_formxcontent</t>
  </si>
  <si>
    <t>csm_originateproductcoa</t>
  </si>
  <si>
    <t>csm_originateproductnoncoa</t>
  </si>
  <si>
    <t>csm_product</t>
  </si>
  <si>
    <t>csm_purpose</t>
  </si>
  <si>
    <t>csm_receivertype</t>
  </si>
  <si>
    <t>rdm_card_tp_cd</t>
  </si>
  <si>
    <t>rdm_cst_ctf_tp_cd</t>
  </si>
  <si>
    <t>rdm_cst_idv_incm_seg_cd</t>
  </si>
  <si>
    <t>rdm_cst_ip_lgl_stc_tp_cd</t>
  </si>
  <si>
    <t>rdm_cst_mar_st_cd</t>
  </si>
  <si>
    <t>rdm_cst_nat_cd</t>
  </si>
  <si>
    <t>rdm_cst_ocp_cd</t>
  </si>
  <si>
    <t>rdm_cst_prof_cd</t>
  </si>
  <si>
    <t>rdm_cst_seg_cd</t>
  </si>
  <si>
    <t>rdm_idy_cl_cd</t>
  </si>
  <si>
    <t>rdm_idy_cl_sub_grp_cd</t>
  </si>
  <si>
    <t>rdm_pim_coa_pd</t>
  </si>
  <si>
    <t>ccms_bda772n2_cardholder_full_dih_enc</t>
  </si>
  <si>
    <t>ccms_bda772n4_cardregister</t>
  </si>
  <si>
    <t>ccms_bda772n5_listcardtype</t>
  </si>
  <si>
    <t>ccms_bp772n1_cardholder_purge</t>
  </si>
  <si>
    <t>lpm_x_ip_rel</t>
  </si>
  <si>
    <t xml:space="preserve">https://adb-1225054441296002.2.azuredatabricks.net/?o=1225054441296002#job/847414196180011/run/500508920364717
https://adb-1225054441296002.2.azuredatabricks.net/?o=1225054441296002#job/847414196180011/run/500508920364717
</t>
  </si>
  <si>
    <t xml:space="preserve">Failed dependency checking: The job is not ready due to failures in prerequisite jobs. </t>
  </si>
  <si>
    <t xml:space="preserve">https://adb-1225054441296002.2.azuredatabricks.net/?o=1225054441296002#job/847414196180011/run/69449439651921
</t>
  </si>
  <si>
    <t>lpm_as400_ar_clss_qly_m</t>
  </si>
  <si>
    <t>lpm_as400_ar_wrtof_rcv_m</t>
  </si>
  <si>
    <t>lpm_as400_lmt_ar_inf_bfr_wrtof_d</t>
  </si>
  <si>
    <t>lpm_as400_lmt_inf_bfr_wrtof_d</t>
  </si>
  <si>
    <t>lpm_as400_ln_card_clss_prvn_m</t>
  </si>
  <si>
    <t>lpm_as400_ln_cntg_clss_prvn_bfr_wrtof_m</t>
  </si>
  <si>
    <t>lpm_as400_ln_cntg_clss_prvn_m</t>
  </si>
  <si>
    <t>lpm_as400_ln_cntg_dmmy_clss_prvn_m</t>
  </si>
  <si>
    <t>lpm_wrtoff_pscp_wo_wo1d04h_sam_m</t>
  </si>
  <si>
    <t>SalesSmart_Customer</t>
  </si>
  <si>
    <t>https://adb-1225054441296002.2.azuredatabricks.net/jobs/209860476102323/runs/278703411266153?o=1225054441296002</t>
  </si>
  <si>
    <t>mx_limiteffective</t>
  </si>
  <si>
    <t>mx_mktevent</t>
  </si>
  <si>
    <t>mx_mmlivemat</t>
  </si>
  <si>
    <t>mx_report_limit_ctp_funded_forint</t>
  </si>
  <si>
    <t>mx_report_limit_pse_forint</t>
  </si>
  <si>
    <t>mx_report_limit_se_forint</t>
  </si>
  <si>
    <t>mx_reset_lp_ctp_funded_forint</t>
  </si>
  <si>
    <t>mx_reset_mplcde_forint</t>
  </si>
  <si>
    <t>mx_src_murx_deal_ar</t>
  </si>
  <si>
    <t>fcd_ar</t>
  </si>
  <si>
    <t>gts_dbtl4xl6</t>
  </si>
  <si>
    <t>gts_dbttnrel</t>
  </si>
  <si>
    <t>gts_kbgt_cont_outstanding</t>
  </si>
  <si>
    <t>gts_kbgt_limit_allocated</t>
  </si>
  <si>
    <t>gts_kbgt_limit</t>
  </si>
  <si>
    <t>gts_kbgt_loan_outstanding</t>
  </si>
  <si>
    <t>pcb_dep_cb2d0005_odencitd_sam</t>
  </si>
  <si>
    <t>pcb_dep_cls500029</t>
  </si>
  <si>
    <t>pcb_dep_deptxn_db</t>
  </si>
  <si>
    <t>pcb_dep_extrate1</t>
  </si>
  <si>
    <t>pcb_dep_src_pf_ar_ca_cr_inf_dly</t>
  </si>
  <si>
    <t>pcb_dep_src_pf_ar_ca_dly</t>
  </si>
  <si>
    <t>pcb_dep_src_pf_ar_ca_limit_dly</t>
  </si>
  <si>
    <t>pcb_dep_src_pf_ar_fx_dly</t>
  </si>
  <si>
    <t>pcb_dep_src_pf_ar_sa_dly</t>
  </si>
  <si>
    <t>pcb_dep_src_pf_ar_sf_dly</t>
  </si>
  <si>
    <t>pcb_dep_src_pf_txn_mis_eft_dly</t>
  </si>
  <si>
    <t>pcb_loan_common_account_info</t>
  </si>
  <si>
    <t>pcb_loan_common_account_tier_by_time</t>
  </si>
  <si>
    <t>pcb_loan_common_limit_info</t>
  </si>
  <si>
    <t>pcb_loan_common_loan_purpose_table</t>
  </si>
  <si>
    <t>pcb_loan_common_market_code</t>
  </si>
  <si>
    <t>pcb_loan_common_product_type</t>
  </si>
  <si>
    <t>pcb_loan_common_rate_type</t>
  </si>
  <si>
    <t>pcb_loan_common_sub_type</t>
  </si>
  <si>
    <t>pcb_loan_common_transaction_file</t>
  </si>
  <si>
    <t>cardlink_kb1dh001_cp1t170_s</t>
  </si>
  <si>
    <t>cardlink_kb1dh002_cp1t170_s</t>
  </si>
  <si>
    <t>cardlink_kb1dh002_cpbcrd</t>
  </si>
  <si>
    <t>cardlink_kb1dh003_cpbcus</t>
  </si>
  <si>
    <t>cardlink_kb1dh005_kbbcrd</t>
  </si>
  <si>
    <t>cardlink_kb1dh006_kbbcus</t>
  </si>
  <si>
    <t>cardlink_kb1dh007_cpahf</t>
  </si>
  <si>
    <t>cardlink_kb1dh011_cc1d2027</t>
  </si>
  <si>
    <t>cardlink_kb1dh012_cpcah_m</t>
  </si>
  <si>
    <t>cardlink_kb1dh013_eptrans</t>
  </si>
  <si>
    <t>Run of Ingestion_Framework of mdp-framework-1.5.0 - Databricks (azuredatabricks.net)</t>
  </si>
  <si>
    <t>utf-8' codec can't decode byte 0xa8 in position 3947: invalid start byte</t>
  </si>
  <si>
    <t>cardlink_kb1dh014_cc1dmpgl</t>
  </si>
  <si>
    <t>cardlink_kb1dh017_cpamt</t>
  </si>
  <si>
    <t>cardlink_kb1dh018_cpsrptt</t>
  </si>
  <si>
    <t>cardlink_kb1dh019_cc1t377</t>
  </si>
  <si>
    <t>cardlink_kb1dh023_lbpttrn</t>
  </si>
  <si>
    <t>cardlink_kb1dh025_cpcah</t>
  </si>
  <si>
    <t>cardlink_kb1dh031_cc1d583b</t>
  </si>
  <si>
    <t>cardlink_kb1dh032_addtype_o</t>
  </si>
  <si>
    <t>cardlink_kb1dh037_cpccpf_d</t>
  </si>
  <si>
    <t>cardlink_kb1dh037_cpccpf_p</t>
  </si>
  <si>
    <t>cardlink_kb1dh037_cptcpf_d</t>
  </si>
  <si>
    <t>cardlink_kb1dh037_cptcpf_p</t>
  </si>
  <si>
    <t>cardlink_kb1dh038_cc1d5012</t>
  </si>
  <si>
    <t>cardlink_kb1dh039_ccnd5012</t>
  </si>
  <si>
    <t>cardlink_kb1dh045_cc1d289g</t>
  </si>
  <si>
    <t>cardlink_lb1dh002_lbcrd</t>
  </si>
  <si>
    <t>cardlink_odscc_ccv2_jcb</t>
  </si>
  <si>
    <t>cardlink_acq_ci1d1166_crdhd</t>
  </si>
  <si>
    <t>UnicodeDecodeError: 'utf-8' codec can't decode byte 0xff in position 6584: invalid start byte</t>
  </si>
  <si>
    <t>cardlink_acq_ci1d1167_cardtype</t>
  </si>
  <si>
    <t>Detecting empty files is not allowed</t>
  </si>
  <si>
    <t>cardlink_acq_ci1d1178_crdreg</t>
  </si>
  <si>
    <t>hris_staff_accnt_vw</t>
  </si>
  <si>
    <t>hrcrc_vc_rc_cd</t>
  </si>
  <si>
    <t>lec_lecp_lec3d18</t>
  </si>
  <si>
    <t>kplus_actlog_qlocal</t>
  </si>
  <si>
    <t>kplus_jmobileactlog_log</t>
  </si>
  <si>
    <t>kplus_jmobiletranloghd</t>
  </si>
  <si>
    <t>kplus_view_balancealertreglog_log</t>
  </si>
  <si>
    <t>kplus_view_jmobileacctcard_log</t>
  </si>
  <si>
    <t>kplus_view_jmobile_log</t>
  </si>
  <si>
    <t>kplus_view_simbankbankinfo_log</t>
  </si>
  <si>
    <t>dgtl_fctrng_fact_acct</t>
  </si>
  <si>
    <t>dgtl_fctrng_v_cis</t>
  </si>
  <si>
    <t>dgtl_fctrng_v_clientdebtor</t>
  </si>
  <si>
    <t>dgtl_fctrng_v_clientlimit</t>
  </si>
  <si>
    <t>dgtl_fctrng_v_company</t>
  </si>
  <si>
    <t>dgtl_fctrng_v_interestspread</t>
  </si>
  <si>
    <t>dgtl_fctrng_v_product</t>
  </si>
  <si>
    <t>dgtl_fctrng_v_purref</t>
  </si>
  <si>
    <t>scf_customer</t>
  </si>
  <si>
    <t>scf_product_map</t>
  </si>
  <si>
    <t>scf_trading</t>
  </si>
  <si>
    <t>scf_vw_cm_fee_structure</t>
  </si>
  <si>
    <t>scf_vw_rdt_scf_cl_acct</t>
  </si>
  <si>
    <t>scf_vw_rdt_scf_cl</t>
  </si>
  <si>
    <t>scf_vw_scm_acct</t>
  </si>
  <si>
    <t>scf_vw_sct_book_loan</t>
  </si>
  <si>
    <t>scf_vw_trading_acct</t>
  </si>
  <si>
    <t>ud_ka_fundcode</t>
  </si>
  <si>
    <t>ud_privatefund_balance</t>
  </si>
  <si>
    <t>ud_vw_fi_fnd_inf_ful</t>
  </si>
  <si>
    <t>ud_vw_flt_div_pmt_inc</t>
  </si>
  <si>
    <t>ud_vw_flt_dp_div_cert_inc</t>
  </si>
  <si>
    <t>ud_vw_flt_rl_sub_bal_enq</t>
  </si>
  <si>
    <t>ud_vw_kgroup_sidetexttbl</t>
  </si>
  <si>
    <t>ud_vw_transactioneodext</t>
  </si>
  <si>
    <t>ud_vw_transactionext</t>
  </si>
  <si>
    <t>ud_vw_t_su_sub_uh_ful</t>
  </si>
  <si>
    <t>ud_vw_t_uh_uh_ful</t>
  </si>
  <si>
    <t>ks_custprofile_s</t>
  </si>
  <si>
    <t>ks_fundmaster_s</t>
  </si>
  <si>
    <t>ks_fundportfolio_s</t>
  </si>
  <si>
    <t>trade_na_lcr070</t>
  </si>
  <si>
    <t>trade_na_src_eximar</t>
  </si>
  <si>
    <t>fxb_midrate_kbank</t>
  </si>
  <si>
    <t>Control checker task</t>
  </si>
  <si>
    <t>Normal</t>
  </si>
  <si>
    <t>Sample File</t>
  </si>
  <si>
    <t>นับรวม header ไม่รวม tailor</t>
  </si>
  <si>
    <t>นับรวม tailor ไม่รวม header</t>
  </si>
  <si>
    <t>นับรวม header และ tailor</t>
  </si>
  <si>
    <t>Source</t>
  </si>
  <si>
    <t>Count of body (20)</t>
  </si>
  <si>
    <t>Count of body (20) + adjust_source (1)</t>
  </si>
  <si>
    <t>Count of body (20) + adjust_source (2)</t>
  </si>
  <si>
    <t xml:space="preserve">Header: </t>
  </si>
  <si>
    <t>20240327|2|3|4</t>
  </si>
  <si>
    <t>Control</t>
  </si>
  <si>
    <t>Count of control (20)</t>
  </si>
  <si>
    <t>Count of control (21)</t>
  </si>
  <si>
    <t>Count of control (22)</t>
  </si>
  <si>
    <t>Body:</t>
  </si>
  <si>
    <t>count: 20</t>
  </si>
  <si>
    <t>Tailor:</t>
  </si>
  <si>
    <t>20240327|20|3|4</t>
  </si>
  <si>
    <t>20240327|21|3|4</t>
  </si>
  <si>
    <t/>
  </si>
  <si>
    <t>+ adjust_source(1)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</si>
</sst>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4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B050"/>
      <name val="Aptos Narrow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i/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Aptos Narrow"/>
    </font>
    <font>
      <sz val="11"/>
      <color rgb="FFFF0000"/>
      <name val="Calibri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0000"/>
      <name val="Aptos Narrow"/>
      <scheme val="minor"/>
    </font>
    <font>
      <sz val="11"/>
      <color rgb="FF000000"/>
      <name val="Calibri"/>
      <scheme val="minor"/>
    </font>
    <font>
      <strike/>
      <sz val="11"/>
      <color rgb="FF000000"/>
      <name val="Aptos Narrow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00B050"/>
      <name val="Aptos Narrow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FF0000"/>
      <name val="Calibri"/>
    </font>
    <font>
      <sz val="11"/>
      <color theme="1"/>
      <name val="Calibri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color theme="0"/>
      <name val="Aptos Narrow"/>
      <scheme val="minor"/>
    </font>
    <font>
      <sz val="11"/>
      <name val="Aptos Narrow"/>
      <scheme val="minor"/>
    </font>
    <font>
      <sz val="11"/>
      <color rgb="FF0D0D0D"/>
      <name val="Aptos Narrow"/>
      <scheme val="minor"/>
    </font>
    <font>
      <u/>
      <sz val="11"/>
      <color theme="10"/>
      <name val="Aptos Narrow"/>
      <scheme val="minor"/>
    </font>
    <font>
      <sz val="11"/>
      <color rgb="FF555555"/>
      <name val="Aptos Narrow"/>
      <scheme val="minor"/>
    </font>
    <font>
      <sz val="11"/>
      <color rgb="FFC82D4C"/>
      <name val="Aptos Narrow"/>
      <scheme val="minor"/>
    </font>
    <font>
      <b/>
      <sz val="11"/>
      <color theme="0"/>
      <name val="Calibri"/>
    </font>
    <font>
      <sz val="11"/>
      <color rgb="FFC0000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9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0" fillId="0" borderId="0"/>
    <xf numFmtId="0" fontId="14" fillId="0" borderId="0"/>
    <xf numFmtId="0" fontId="23" fillId="0" borderId="0" applyNumberFormat="0" applyFill="0" applyBorder="0" applyAlignment="0" applyProtection="0"/>
  </cellStyleXfs>
  <cellXfs count="176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2" fillId="4" borderId="2" xfId="0" applyFont="1" applyFill="1" applyBorder="1" applyAlignment="1">
      <alignment vertical="top"/>
    </xf>
    <xf numFmtId="0" fontId="12" fillId="0" borderId="1" xfId="1" applyFont="1" applyBorder="1" applyAlignment="1">
      <alignment horizontal="left" vertical="top" wrapText="1"/>
    </xf>
    <xf numFmtId="0" fontId="13" fillId="0" borderId="1" xfId="1" applyFont="1" applyBorder="1" applyAlignment="1">
      <alignment horizontal="left" vertical="top" wrapText="1"/>
    </xf>
    <xf numFmtId="0" fontId="0" fillId="6" borderId="1" xfId="0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164" fontId="0" fillId="0" borderId="0" xfId="0" applyNumberFormat="1" applyAlignment="1">
      <alignment vertical="top"/>
    </xf>
    <xf numFmtId="164" fontId="12" fillId="0" borderId="1" xfId="1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1" fillId="5" borderId="1" xfId="1" applyFont="1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0" fontId="5" fillId="0" borderId="1" xfId="1" applyFont="1" applyBorder="1" applyAlignment="1">
      <alignment horizontal="left" vertical="top" wrapText="1"/>
    </xf>
    <xf numFmtId="0" fontId="13" fillId="3" borderId="1" xfId="1" applyFont="1" applyFill="1" applyBorder="1" applyAlignment="1">
      <alignment horizontal="left" vertical="top" wrapText="1"/>
    </xf>
    <xf numFmtId="0" fontId="0" fillId="0" borderId="0" xfId="0" pivotButton="1" applyAlignment="1">
      <alignment vertical="top"/>
    </xf>
    <xf numFmtId="0" fontId="14" fillId="0" borderId="1" xfId="1" applyFont="1" applyBorder="1" applyAlignment="1">
      <alignment horizontal="left" vertical="top" wrapText="1"/>
    </xf>
    <xf numFmtId="164" fontId="12" fillId="0" borderId="1" xfId="1" quotePrefix="1" applyNumberFormat="1" applyFont="1" applyBorder="1" applyAlignment="1">
      <alignment horizontal="left" vertical="top" wrapText="1"/>
    </xf>
    <xf numFmtId="0" fontId="12" fillId="3" borderId="1" xfId="1" applyFont="1" applyFill="1" applyBorder="1" applyAlignment="1">
      <alignment horizontal="left" vertical="top" wrapText="1"/>
    </xf>
    <xf numFmtId="0" fontId="11" fillId="5" borderId="3" xfId="1" applyFont="1" applyFill="1" applyBorder="1" applyAlignment="1">
      <alignment horizontal="center" vertical="top" wrapText="1"/>
    </xf>
    <xf numFmtId="0" fontId="12" fillId="0" borderId="3" xfId="1" applyFont="1" applyBorder="1" applyAlignment="1">
      <alignment horizontal="left" vertical="top" wrapText="1"/>
    </xf>
    <xf numFmtId="0" fontId="12" fillId="0" borderId="3" xfId="1" applyFont="1" applyBorder="1" applyAlignment="1">
      <alignment vertical="top"/>
    </xf>
    <xf numFmtId="0" fontId="12" fillId="0" borderId="3" xfId="1" applyFont="1" applyBorder="1" applyAlignment="1">
      <alignment horizontal="left" vertical="top"/>
    </xf>
    <xf numFmtId="0" fontId="12" fillId="0" borderId="3" xfId="2" applyFont="1" applyBorder="1" applyAlignment="1">
      <alignment vertical="top"/>
    </xf>
    <xf numFmtId="0" fontId="12" fillId="9" borderId="4" xfId="1" applyFont="1" applyFill="1" applyBorder="1" applyAlignment="1">
      <alignment horizontal="left" vertical="top" wrapText="1"/>
    </xf>
    <xf numFmtId="0" fontId="12" fillId="0" borderId="4" xfId="1" applyFont="1" applyBorder="1" applyAlignment="1">
      <alignment horizontal="left" vertical="top"/>
    </xf>
    <xf numFmtId="0" fontId="12" fillId="0" borderId="5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/>
    </xf>
    <xf numFmtId="0" fontId="12" fillId="0" borderId="1" xfId="1" applyFont="1" applyBorder="1" applyAlignment="1">
      <alignment vertical="top"/>
    </xf>
    <xf numFmtId="0" fontId="13" fillId="0" borderId="1" xfId="2" applyFont="1" applyBorder="1" applyAlignment="1">
      <alignment vertical="top"/>
    </xf>
    <xf numFmtId="0" fontId="13" fillId="0" borderId="1" xfId="1" applyFont="1" applyBorder="1" applyAlignment="1">
      <alignment horizontal="left" vertical="top"/>
    </xf>
    <xf numFmtId="0" fontId="21" fillId="0" borderId="1" xfId="1" applyFont="1" applyBorder="1" applyAlignment="1">
      <alignment vertical="top"/>
    </xf>
    <xf numFmtId="0" fontId="21" fillId="0" borderId="1" xfId="1" applyFont="1" applyBorder="1" applyAlignment="1">
      <alignment horizontal="left" vertical="top"/>
    </xf>
    <xf numFmtId="0" fontId="22" fillId="6" borderId="1" xfId="0" applyFont="1" applyFill="1" applyBorder="1"/>
    <xf numFmtId="0" fontId="11" fillId="5" borderId="6" xfId="1" applyFont="1" applyFill="1" applyBorder="1" applyAlignment="1">
      <alignment horizontal="center" vertical="top" wrapText="1"/>
    </xf>
    <xf numFmtId="0" fontId="13" fillId="0" borderId="6" xfId="1" applyFont="1" applyBorder="1" applyAlignment="1">
      <alignment horizontal="left" vertical="top" wrapText="1"/>
    </xf>
    <xf numFmtId="0" fontId="13" fillId="0" borderId="2" xfId="1" applyFont="1" applyBorder="1" applyAlignment="1">
      <alignment horizontal="left" vertical="top" wrapText="1"/>
    </xf>
    <xf numFmtId="0" fontId="13" fillId="10" borderId="1" xfId="1" applyFont="1" applyFill="1" applyBorder="1" applyAlignment="1">
      <alignment horizontal="left" vertical="top" wrapText="1"/>
    </xf>
    <xf numFmtId="0" fontId="3" fillId="0" borderId="1" xfId="0" applyFont="1" applyBorder="1"/>
    <xf numFmtId="0" fontId="18" fillId="0" borderId="1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0" fillId="6" borderId="0" xfId="0" applyFill="1"/>
    <xf numFmtId="0" fontId="0" fillId="0" borderId="0" xfId="0" quotePrefix="1"/>
    <xf numFmtId="0" fontId="15" fillId="0" borderId="1" xfId="1" applyFont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13" fillId="0" borderId="9" xfId="1" applyFont="1" applyBorder="1" applyAlignment="1">
      <alignment horizontal="left" vertical="top" wrapText="1"/>
    </xf>
    <xf numFmtId="0" fontId="3" fillId="0" borderId="2" xfId="0" applyFont="1" applyBorder="1"/>
    <xf numFmtId="0" fontId="15" fillId="8" borderId="1" xfId="0" applyFont="1" applyFill="1" applyBorder="1" applyAlignment="1">
      <alignment vertical="top" wrapText="1"/>
    </xf>
    <xf numFmtId="164" fontId="11" fillId="5" borderId="1" xfId="1" applyNumberFormat="1" applyFont="1" applyFill="1" applyBorder="1" applyAlignment="1">
      <alignment horizontal="center" vertical="top" wrapText="1"/>
    </xf>
    <xf numFmtId="0" fontId="31" fillId="0" borderId="1" xfId="0" applyFont="1" applyBorder="1"/>
    <xf numFmtId="0" fontId="12" fillId="6" borderId="1" xfId="1" applyFont="1" applyFill="1" applyBorder="1" applyAlignment="1">
      <alignment horizontal="left" vertical="top" wrapText="1"/>
    </xf>
    <xf numFmtId="0" fontId="3" fillId="6" borderId="0" xfId="0" applyFont="1" applyFill="1"/>
    <xf numFmtId="0" fontId="28" fillId="6" borderId="1" xfId="1" applyFont="1" applyFill="1" applyBorder="1" applyAlignment="1">
      <alignment horizontal="center" vertical="top" wrapText="1"/>
    </xf>
    <xf numFmtId="0" fontId="33" fillId="0" borderId="1" xfId="0" applyFont="1" applyBorder="1" applyAlignment="1">
      <alignment vertical="top"/>
    </xf>
    <xf numFmtId="0" fontId="12" fillId="0" borderId="2" xfId="1" applyFont="1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12" fillId="10" borderId="1" xfId="1" applyFont="1" applyFill="1" applyBorder="1" applyAlignment="1">
      <alignment horizontal="left" vertical="top" wrapText="1"/>
    </xf>
    <xf numFmtId="164" fontId="12" fillId="10" borderId="1" xfId="1" applyNumberFormat="1" applyFont="1" applyFill="1" applyBorder="1" applyAlignment="1">
      <alignment horizontal="left" vertical="top" wrapText="1"/>
    </xf>
    <xf numFmtId="0" fontId="3" fillId="10" borderId="1" xfId="1" applyFont="1" applyFill="1" applyBorder="1" applyAlignment="1">
      <alignment horizontal="left" vertical="top" wrapText="1"/>
    </xf>
    <xf numFmtId="0" fontId="30" fillId="10" borderId="1" xfId="0" applyFont="1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20" fillId="10" borderId="1" xfId="1" applyFont="1" applyFill="1" applyBorder="1" applyAlignment="1">
      <alignment horizontal="left" vertical="top" wrapText="1"/>
    </xf>
    <xf numFmtId="0" fontId="0" fillId="0" borderId="0" xfId="0" pivotButton="1" applyAlignment="1">
      <alignment vertical="top" wrapText="1"/>
    </xf>
    <xf numFmtId="0" fontId="0" fillId="0" borderId="0" xfId="0" applyAlignment="1">
      <alignment vertical="top" wrapText="1"/>
    </xf>
    <xf numFmtId="0" fontId="31" fillId="0" borderId="0" xfId="0" applyFont="1" applyAlignment="1">
      <alignment vertical="top" wrapText="1"/>
    </xf>
    <xf numFmtId="0" fontId="0" fillId="0" borderId="0" xfId="0" applyAlignment="1">
      <alignment horizontal="right" vertical="top" wrapText="1"/>
    </xf>
    <xf numFmtId="0" fontId="12" fillId="0" borderId="6" xfId="1" applyFont="1" applyBorder="1" applyAlignment="1">
      <alignment horizontal="left" vertical="top" wrapText="1"/>
    </xf>
    <xf numFmtId="164" fontId="0" fillId="0" borderId="1" xfId="0" applyNumberFormat="1" applyBorder="1" applyAlignment="1">
      <alignment vertical="top"/>
    </xf>
    <xf numFmtId="0" fontId="18" fillId="0" borderId="2" xfId="1" applyFont="1" applyBorder="1" applyAlignment="1">
      <alignment horizontal="left" vertical="top" wrapText="1"/>
    </xf>
    <xf numFmtId="0" fontId="18" fillId="0" borderId="8" xfId="1" applyFont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34" fillId="0" borderId="0" xfId="0" applyFont="1" applyAlignment="1">
      <alignment vertical="top"/>
    </xf>
    <xf numFmtId="0" fontId="34" fillId="0" borderId="0" xfId="0" applyFont="1"/>
    <xf numFmtId="0" fontId="34" fillId="3" borderId="0" xfId="0" applyFont="1" applyFill="1"/>
    <xf numFmtId="0" fontId="34" fillId="0" borderId="0" xfId="0" applyFont="1" applyAlignment="1">
      <alignment vertical="top" wrapText="1"/>
    </xf>
    <xf numFmtId="164" fontId="34" fillId="0" borderId="0" xfId="0" applyNumberFormat="1" applyFont="1" applyAlignment="1">
      <alignment vertical="top"/>
    </xf>
    <xf numFmtId="0" fontId="0" fillId="0" borderId="7" xfId="0" applyBorder="1"/>
    <xf numFmtId="0" fontId="5" fillId="6" borderId="1" xfId="1" applyFont="1" applyFill="1" applyBorder="1" applyAlignment="1">
      <alignment horizontal="left" vertical="top" wrapText="1"/>
    </xf>
    <xf numFmtId="0" fontId="36" fillId="5" borderId="1" xfId="1" applyFont="1" applyFill="1" applyBorder="1" applyAlignment="1">
      <alignment horizontal="center" vertical="top" wrapText="1"/>
    </xf>
    <xf numFmtId="164" fontId="36" fillId="5" borderId="1" xfId="1" applyNumberFormat="1" applyFont="1" applyFill="1" applyBorder="1" applyAlignment="1">
      <alignment horizontal="center" vertical="top" wrapText="1"/>
    </xf>
    <xf numFmtId="0" fontId="37" fillId="0" borderId="1" xfId="1" applyFont="1" applyBorder="1" applyAlignment="1">
      <alignment horizontal="left" vertical="top" wrapText="1"/>
    </xf>
    <xf numFmtId="0" fontId="38" fillId="11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39" fillId="0" borderId="1" xfId="3" applyFont="1" applyBorder="1" applyAlignment="1">
      <alignment vertical="top"/>
    </xf>
    <xf numFmtId="0" fontId="39" fillId="0" borderId="1" xfId="3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40" fillId="0" borderId="1" xfId="0" applyFont="1" applyBorder="1" applyAlignment="1">
      <alignment vertical="top"/>
    </xf>
    <xf numFmtId="164" fontId="5" fillId="5" borderId="1" xfId="1" applyNumberFormat="1" applyFont="1" applyFill="1" applyBorder="1" applyAlignment="1">
      <alignment horizontal="center" vertical="top" wrapText="1"/>
    </xf>
    <xf numFmtId="164" fontId="5" fillId="11" borderId="1" xfId="0" applyNumberFormat="1" applyFont="1" applyFill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4" fontId="35" fillId="0" borderId="0" xfId="0" applyNumberFormat="1" applyFont="1" applyAlignment="1">
      <alignment horizontal="center" vertical="top"/>
    </xf>
    <xf numFmtId="0" fontId="38" fillId="11" borderId="1" xfId="0" applyFont="1" applyFill="1" applyBorder="1"/>
    <xf numFmtId="0" fontId="39" fillId="0" borderId="1" xfId="3" applyFont="1" applyBorder="1"/>
    <xf numFmtId="0" fontId="6" fillId="0" borderId="1" xfId="0" quotePrefix="1" applyFont="1" applyBorder="1"/>
    <xf numFmtId="0" fontId="41" fillId="0" borderId="1" xfId="0" applyFont="1" applyBorder="1" applyAlignment="1">
      <alignment wrapText="1"/>
    </xf>
    <xf numFmtId="0" fontId="6" fillId="0" borderId="1" xfId="0" applyFont="1" applyBorder="1"/>
    <xf numFmtId="0" fontId="40" fillId="0" borderId="1" xfId="0" applyFont="1" applyBorder="1"/>
    <xf numFmtId="164" fontId="38" fillId="11" borderId="1" xfId="0" applyNumberFormat="1" applyFont="1" applyFill="1" applyBorder="1" applyAlignment="1">
      <alignment horizontal="center" vertical="top"/>
    </xf>
    <xf numFmtId="164" fontId="6" fillId="11" borderId="1" xfId="0" applyNumberFormat="1" applyFont="1" applyFill="1" applyBorder="1" applyAlignment="1">
      <alignment horizontal="center" vertical="top"/>
    </xf>
    <xf numFmtId="0" fontId="19" fillId="0" borderId="1" xfId="0" applyFont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6" fillId="11" borderId="1" xfId="0" applyFont="1" applyFill="1" applyBorder="1"/>
    <xf numFmtId="0" fontId="5" fillId="0" borderId="1" xfId="0" applyFont="1" applyBorder="1"/>
    <xf numFmtId="0" fontId="38" fillId="0" borderId="1" xfId="0" applyFont="1" applyBorder="1"/>
    <xf numFmtId="164" fontId="3" fillId="0" borderId="1" xfId="0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left" vertical="top" wrapText="1"/>
    </xf>
    <xf numFmtId="0" fontId="0" fillId="8" borderId="1" xfId="0" applyFill="1" applyBorder="1" applyAlignment="1">
      <alignment vertical="top" wrapText="1"/>
    </xf>
    <xf numFmtId="0" fontId="18" fillId="0" borderId="6" xfId="1" applyFont="1" applyBorder="1" applyAlignment="1">
      <alignment horizontal="left" vertical="top" wrapText="1"/>
    </xf>
    <xf numFmtId="0" fontId="18" fillId="0" borderId="11" xfId="1" applyFont="1" applyBorder="1" applyAlignment="1">
      <alignment horizontal="left" vertical="top" wrapText="1"/>
    </xf>
    <xf numFmtId="0" fontId="20" fillId="0" borderId="1" xfId="1" applyFont="1" applyBorder="1" applyAlignment="1">
      <alignment horizontal="left" vertical="top" wrapText="1"/>
    </xf>
    <xf numFmtId="0" fontId="15" fillId="3" borderId="1" xfId="1" applyFont="1" applyFill="1" applyBorder="1" applyAlignment="1">
      <alignment horizontal="left" vertical="top" wrapText="1"/>
    </xf>
    <xf numFmtId="0" fontId="33" fillId="0" borderId="8" xfId="0" applyFont="1" applyBorder="1" applyAlignment="1">
      <alignment vertical="top"/>
    </xf>
    <xf numFmtId="0" fontId="5" fillId="3" borderId="1" xfId="1" applyFont="1" applyFill="1" applyBorder="1" applyAlignment="1">
      <alignment horizontal="left" vertical="top" wrapText="1"/>
    </xf>
    <xf numFmtId="0" fontId="0" fillId="8" borderId="2" xfId="0" applyFill="1" applyBorder="1" applyAlignment="1">
      <alignment vertical="top" wrapText="1"/>
    </xf>
    <xf numFmtId="164" fontId="13" fillId="0" borderId="1" xfId="1" applyNumberFormat="1" applyFont="1" applyBorder="1" applyAlignment="1">
      <alignment horizontal="left" vertical="top" wrapText="1"/>
    </xf>
    <xf numFmtId="164" fontId="18" fillId="0" borderId="1" xfId="1" quotePrefix="1" applyNumberFormat="1" applyFont="1" applyBorder="1" applyAlignment="1">
      <alignment horizontal="left" vertical="top" wrapText="1"/>
    </xf>
    <xf numFmtId="0" fontId="15" fillId="12" borderId="1" xfId="1" applyFont="1" applyFill="1" applyBorder="1" applyAlignment="1">
      <alignment horizontal="left" vertical="top" wrapText="1"/>
    </xf>
    <xf numFmtId="0" fontId="13" fillId="0" borderId="1" xfId="1" applyFont="1" applyBorder="1" applyAlignment="1">
      <alignment horizontal="center" vertical="top" wrapText="1"/>
    </xf>
    <xf numFmtId="0" fontId="15" fillId="0" borderId="1" xfId="1" quotePrefix="1" applyFont="1" applyBorder="1" applyAlignment="1">
      <alignment horizontal="left" vertical="top" wrapText="1"/>
    </xf>
    <xf numFmtId="0" fontId="27" fillId="0" borderId="1" xfId="1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3" fillId="12" borderId="1" xfId="1" applyFont="1" applyFill="1" applyBorder="1" applyAlignment="1">
      <alignment horizontal="left" vertical="top" wrapText="1"/>
    </xf>
    <xf numFmtId="0" fontId="0" fillId="0" borderId="10" xfId="0" applyBorder="1"/>
    <xf numFmtId="0" fontId="11" fillId="2" borderId="1" xfId="1" applyFont="1" applyFill="1" applyBorder="1" applyAlignment="1">
      <alignment horizontal="left" vertical="top" wrapText="1"/>
    </xf>
    <xf numFmtId="0" fontId="13" fillId="6" borderId="1" xfId="1" applyFont="1" applyFill="1" applyBorder="1" applyAlignment="1">
      <alignment horizontal="left" vertical="top" wrapText="1"/>
    </xf>
    <xf numFmtId="164" fontId="18" fillId="0" borderId="1" xfId="1" applyNumberFormat="1" applyFont="1" applyBorder="1" applyAlignment="1">
      <alignment horizontal="left" vertical="top" wrapText="1"/>
    </xf>
    <xf numFmtId="0" fontId="13" fillId="13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22" fillId="0" borderId="1" xfId="1" applyFont="1" applyBorder="1" applyAlignment="1">
      <alignment horizontal="left" vertical="top" wrapText="1"/>
    </xf>
    <xf numFmtId="0" fontId="30" fillId="0" borderId="1" xfId="0" applyFont="1" applyBorder="1" applyAlignment="1">
      <alignment vertical="top"/>
    </xf>
    <xf numFmtId="0" fontId="13" fillId="8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5" fillId="0" borderId="1" xfId="1" applyFont="1" applyBorder="1" applyAlignment="1">
      <alignment horizontal="left" vertical="top" wrapText="1"/>
    </xf>
    <xf numFmtId="0" fontId="0" fillId="6" borderId="0" xfId="0" applyFill="1" applyAlignment="1">
      <alignment vertical="top" wrapText="1"/>
    </xf>
    <xf numFmtId="0" fontId="42" fillId="2" borderId="1" xfId="0" applyFont="1" applyFill="1" applyBorder="1" applyAlignment="1">
      <alignment horizontal="left" vertical="top"/>
    </xf>
    <xf numFmtId="0" fontId="33" fillId="0" borderId="1" xfId="0" applyFont="1" applyBorder="1" applyAlignment="1">
      <alignment horizontal="left" vertical="top"/>
    </xf>
    <xf numFmtId="0" fontId="33" fillId="0" borderId="0" xfId="0" applyFont="1" applyAlignment="1">
      <alignment horizontal="left" vertical="top"/>
    </xf>
    <xf numFmtId="0" fontId="33" fillId="0" borderId="7" xfId="0" applyFont="1" applyBorder="1" applyAlignment="1">
      <alignment horizontal="left" vertical="top"/>
    </xf>
    <xf numFmtId="0" fontId="0" fillId="14" borderId="0" xfId="0" applyFill="1" applyAlignment="1">
      <alignment vertical="top"/>
    </xf>
    <xf numFmtId="0" fontId="0" fillId="0" borderId="0" xfId="0" applyAlignment="1">
      <alignment wrapText="1"/>
    </xf>
    <xf numFmtId="0" fontId="31" fillId="0" borderId="0" xfId="0" applyFont="1"/>
    <xf numFmtId="164" fontId="12" fillId="0" borderId="2" xfId="1" applyNumberFormat="1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/>
    </xf>
    <xf numFmtId="0" fontId="18" fillId="0" borderId="12" xfId="1" applyFont="1" applyBorder="1" applyAlignment="1">
      <alignment horizontal="left" vertical="top" wrapText="1"/>
    </xf>
    <xf numFmtId="0" fontId="12" fillId="0" borderId="12" xfId="1" applyFont="1" applyBorder="1" applyAlignment="1">
      <alignment horizontal="left" vertical="top" wrapText="1"/>
    </xf>
    <xf numFmtId="0" fontId="13" fillId="0" borderId="13" xfId="1" applyFont="1" applyBorder="1" applyAlignment="1">
      <alignment horizontal="left" vertical="top" wrapText="1"/>
    </xf>
    <xf numFmtId="0" fontId="13" fillId="6" borderId="12" xfId="1" applyFont="1" applyFill="1" applyBorder="1" applyAlignment="1">
      <alignment horizontal="left" vertical="top" wrapText="1"/>
    </xf>
    <xf numFmtId="0" fontId="15" fillId="0" borderId="12" xfId="1" applyFont="1" applyBorder="1" applyAlignment="1">
      <alignment horizontal="left" vertical="top" wrapText="1"/>
    </xf>
    <xf numFmtId="0" fontId="0" fillId="0" borderId="12" xfId="0" applyBorder="1" applyAlignment="1">
      <alignment vertical="top" wrapText="1"/>
    </xf>
    <xf numFmtId="0" fontId="33" fillId="0" borderId="14" xfId="0" applyFont="1" applyBorder="1" applyAlignment="1">
      <alignment horizontal="left" vertical="top"/>
    </xf>
    <xf numFmtId="0" fontId="33" fillId="0" borderId="12" xfId="0" applyFont="1" applyBorder="1" applyAlignment="1">
      <alignment horizontal="left" vertical="top"/>
    </xf>
    <xf numFmtId="164" fontId="12" fillId="0" borderId="8" xfId="1" applyNumberFormat="1" applyFont="1" applyBorder="1" applyAlignment="1">
      <alignment horizontal="left" vertical="top" wrapText="1"/>
    </xf>
    <xf numFmtId="0" fontId="13" fillId="0" borderId="8" xfId="1" applyFont="1" applyBorder="1" applyAlignment="1">
      <alignment horizontal="left" vertical="top" wrapText="1"/>
    </xf>
    <xf numFmtId="0" fontId="0" fillId="8" borderId="8" xfId="0" applyFill="1" applyBorder="1" applyAlignment="1">
      <alignment vertical="top" wrapText="1"/>
    </xf>
    <xf numFmtId="0" fontId="33" fillId="0" borderId="8" xfId="0" applyFont="1" applyBorder="1" applyAlignment="1">
      <alignment horizontal="left" vertical="top"/>
    </xf>
    <xf numFmtId="164" fontId="12" fillId="0" borderId="12" xfId="1" quotePrefix="1" applyNumberFormat="1" applyFont="1" applyBorder="1" applyAlignment="1">
      <alignment horizontal="left" vertical="top" wrapText="1"/>
    </xf>
    <xf numFmtId="0" fontId="15" fillId="3" borderId="8" xfId="1" applyFont="1" applyFill="1" applyBorder="1" applyAlignment="1">
      <alignment horizontal="left" vertical="top" wrapText="1"/>
    </xf>
    <xf numFmtId="0" fontId="0" fillId="0" borderId="8" xfId="0" applyBorder="1" applyAlignment="1">
      <alignment vertical="top"/>
    </xf>
    <xf numFmtId="0" fontId="15" fillId="0" borderId="6" xfId="1" applyFont="1" applyBorder="1" applyAlignment="1">
      <alignment horizontal="left" vertical="top" wrapText="1"/>
    </xf>
    <xf numFmtId="0" fontId="0" fillId="3" borderId="2" xfId="0" applyFill="1" applyBorder="1" applyAlignment="1">
      <alignment vertical="top"/>
    </xf>
    <xf numFmtId="0" fontId="0" fillId="6" borderId="0" xfId="0" applyFill="1" applyAlignment="1">
      <alignment vertical="top"/>
    </xf>
    <xf numFmtId="14" fontId="0" fillId="0" borderId="0" xfId="0" applyNumberFormat="1"/>
    <xf numFmtId="0" fontId="31" fillId="0" borderId="0" xfId="0" applyFont="1" applyAlignment="1">
      <alignment wrapText="1"/>
    </xf>
    <xf numFmtId="0" fontId="5" fillId="0" borderId="6" xfId="0" applyFont="1" applyBorder="1" applyAlignment="1">
      <alignment vertical="top" wrapText="1"/>
    </xf>
    <xf numFmtId="164" fontId="1" fillId="0" borderId="1" xfId="2" applyNumberFormat="1" applyFont="1" applyBorder="1" applyAlignment="1">
      <alignment horizontal="left" vertical="top"/>
    </xf>
  </cellXfs>
  <cellStyles count="4">
    <cellStyle name="Hyperlink" xfId="3" builtinId="8"/>
    <cellStyle name="Normal" xfId="0" builtinId="0"/>
    <cellStyle name="Normal 2" xfId="2" xr:uid="{8B82898A-866D-4004-8B34-1BCA45ADFFC1}"/>
    <cellStyle name="Normal 2 2" xfId="1" xr:uid="{A0C921CD-4592-4AD5-B2E8-BB28DB2700DB}"/>
  </cellStyles>
  <dxfs count="58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yy"/>
    </dxf>
    <dxf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name val="Calibri"/>
      </font>
    </dxf>
    <dxf>
      <font>
        <name val="Calibri"/>
      </font>
    </dxf>
    <dxf>
      <fill>
        <patternFill patternType="solid">
          <fgColor indexed="64"/>
          <bgColor theme="9" tint="0.79998168889431442"/>
        </patternFill>
      </fill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none"/>
      </fill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Medium9"/>
  <colors>
    <mruColors>
      <color rgb="FFFAF9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</xdr:row>
      <xdr:rowOff>123825</xdr:rowOff>
    </xdr:from>
    <xdr:to>
      <xdr:col>15</xdr:col>
      <xdr:colOff>266700</xdr:colOff>
      <xdr:row>26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FD39E48-7E0A-2E5F-0169-3FC76ABE3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68325" y="314325"/>
          <a:ext cx="5353050" cy="4638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onnikan Chiwitsophon" id="{729CDDCD-DF23-44F5-BECA-88E4F9613AC2}" userId="S::o_chonnikan.c@kbtg.tech::0555f0f3-b107-49f7-9229-72e1b1566d0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83.621146412035" createdVersion="8" refreshedVersion="8" minRefreshableVersion="3" recordCount="180" xr:uid="{D10CB225-BC31-4F99-B4CB-B319DF530D72}">
  <cacheSource type="worksheet">
    <worksheetSource ref="A1:G181" sheet="Run Job status"/>
  </cacheSource>
  <cacheFields count="7">
    <cacheField name="MDP Area Name" numFmtId="0">
      <sharedItems containsNonDate="0" count="24">
        <s v="cis"/>
        <s v="csm"/>
        <s v="rdm"/>
        <s v="ccms"/>
        <s v="lpm-as400"/>
        <s v="lpm-wrtoff"/>
        <s v="rmst"/>
        <s v="mx"/>
        <s v="fcd"/>
        <s v="gts"/>
        <s v="pcb_dep"/>
        <s v="pcb_loan"/>
        <s v="cardlink"/>
        <s v="cardlink_acq"/>
        <s v="hris"/>
        <s v="hrcrc"/>
        <s v="lec"/>
        <s v="kplus"/>
        <s v="dgtl_fctrng"/>
        <s v="scf"/>
        <s v="ud"/>
        <s v="ks"/>
        <s v="trade_na"/>
        <s v="fxb"/>
      </sharedItems>
    </cacheField>
    <cacheField name="Source File name/Table name" numFmtId="0">
      <sharedItems containsNonDate="0"/>
    </cacheField>
    <cacheField name="POS_DATE" numFmtId="0">
      <sharedItems containsNonDate="0" containsDate="1" containsString="0" containsBlank="1" minDate="2018-08-06T00:00:00" maxDate="2024-03-28T00:00:00"/>
    </cacheField>
    <cacheField name="STATUS EXTRACTION" numFmtId="0">
      <sharedItems containsNonDate="0"/>
    </cacheField>
    <cacheField name="STATUS RUNJOB" numFmtId="0">
      <sharedItems containsNonDate="0" count="3">
        <s v="Passed"/>
        <s v="Failed"/>
        <s v="In Progress"/>
      </sharedItems>
    </cacheField>
    <cacheField name="LINKED" numFmtId="0">
      <sharedItems containsNonDate="0" containsBlank="1"/>
    </cacheField>
    <cacheField name="REMAKED" numFmtId="0">
      <sharedItems containsNonDate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83.634798148145" createdVersion="8" refreshedVersion="8" minRefreshableVersion="3" recordCount="115" xr:uid="{A2B46D5F-C029-41C1-81E7-DA66AB39D75C}">
  <cacheSource type="worksheet">
    <worksheetSource ref="A1:J116" sheet="UAT Test"/>
  </cacheSource>
  <cacheFields count="10">
    <cacheField name="Area Name" numFmtId="0">
      <sharedItems containsNonDate="0"/>
    </cacheField>
    <cacheField name="Persist Table Name" numFmtId="0">
      <sharedItems containsNonDate="0"/>
    </cacheField>
    <cacheField name="Integration Approach" numFmtId="0">
      <sharedItems containsNonDate="0" count="6">
        <s v="Plan B: Source File (DIH)"/>
        <s v="Plan B: Source File (EBAN)"/>
        <s v="Plan B: Pull DB"/>
        <s v="Plan B: EBAN Extraction File (Push)"/>
        <s v="Plan B: Source File (EBAN) - fix length"/>
        <s v="Plan A: Source File (Pull)"/>
      </sharedItems>
    </cacheField>
    <cacheField name="SIT Status" numFmtId="0">
      <sharedItems containsNonDate="0"/>
    </cacheField>
    <cacheField name="pos_dt" numFmtId="0">
      <sharedItems containsNonDate="0" containsDate="1" containsBlank="1" containsMixedTypes="1" minDate="2018-08-06T00:00:00" maxDate="2024-03-29T00:00:00"/>
    </cacheField>
    <cacheField name="SIT issue" numFmtId="0">
      <sharedItems containsNonDate="0" containsBlank="1" longText="1"/>
    </cacheField>
    <cacheField name="CBR revise" numFmtId="0">
      <sharedItems containsNonDate="0" containsBlank="1" longText="1"/>
    </cacheField>
    <cacheField name="Issues" numFmtId="0">
      <sharedItems containsNonDate="0" containsBlank="1" count="27">
        <s v="Mismatch source data layout"/>
        <s v="Framework"/>
        <s v="UnicodeDecode_x000a_Mandatory null"/>
        <s v="ACN"/>
        <s v="Mandatory null"/>
        <s v="Mismatch source data format"/>
        <s v=" Missing Primary Key"/>
        <s v="Empty file"/>
        <m/>
        <s v="New Requirement (Decrypt some record)_x000a_Mandatory null"/>
        <s v="Mismatch source data layout + Mandatory null"/>
        <s v="Missing mandatory field"/>
        <s v="UnicodeDecode"/>
        <s v="KAS layout"/>
        <s v="Control-M"/>
        <s v="Cluster size (out of mem)"/>
        <s v="extraction config"/>
        <s v="Mismatch source data format_x000a_Mandatory null"/>
        <s v="Mismatch source data layout_x000a_Mandatory null_x000a_UnicodeDecode"/>
        <s v="Pass"/>
        <s v="passed"/>
        <s v="Incorrect spec from EBAN"/>
        <s v="[Fixed] Missing Primary Key" u="1"/>
        <s v="Incorrect information" u="1"/>
        <s v="Mismatch source data layout_x000a_Mandatory null" u="1"/>
        <s v="Mismatch source data layout_x000a_" u="1"/>
        <s v="Mismatch data layout_x000a_Mandatory null" u="1"/>
      </sharedItems>
    </cacheField>
    <cacheField name="Note" numFmtId="0">
      <sharedItems containsNonDate="0" containsDate="1" containsBlank="1" containsMixedTypes="1" minDate="2024-03-31T00:00:00" maxDate="2024-04-01T00:00:00"/>
    </cacheField>
    <cacheField name="Owner" numFmtId="0">
      <sharedItems containsNonDate="0" containsBlank="1" count="13">
        <s v="Kaew"/>
        <s v="FW"/>
        <s v="P'Fon"/>
        <s v="Kaew_x000a_M"/>
        <s v="Tee"/>
        <m/>
        <s v="M"/>
        <s v="Fon"/>
        <s v="Warm" u="1"/>
        <s v="Tua" u="1"/>
        <s v="Kaew (Plar)" u="1"/>
        <s v="Kaew_x000a_Warm" u="1"/>
        <s v="Kaew_x000a_Te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84.452555324075" createdVersion="8" refreshedVersion="8" minRefreshableVersion="3" recordCount="125" xr:uid="{3D8DD511-1F89-42A0-B762-3E17FC0E35EF}">
  <cacheSource type="worksheet">
    <worksheetSource ref="A1:M126" sheet="UAT Test"/>
  </cacheSource>
  <cacheFields count="13">
    <cacheField name="Area Name" numFmtId="0">
      <sharedItems containsNonDate="0"/>
    </cacheField>
    <cacheField name="Persist Table Name" numFmtId="0">
      <sharedItems containsNonDate="0"/>
    </cacheField>
    <cacheField name="Integration Approach" numFmtId="0">
      <sharedItems containsNonDate="0"/>
    </cacheField>
    <cacheField name="SIT Status" numFmtId="0">
      <sharedItems containsNonDate="0" count="4">
        <s v="Not Start"/>
        <s v="Passed"/>
        <s v="Ready to execute"/>
        <s v="Failed"/>
      </sharedItems>
    </cacheField>
    <cacheField name="pos_dt" numFmtId="0">
      <sharedItems containsNonDate="0" containsDate="1" containsBlank="1" containsMixedTypes="1" minDate="2018-08-06T00:00:00" maxDate="2024-03-29T00:00:00"/>
    </cacheField>
    <cacheField name="SIT issue" numFmtId="0">
      <sharedItems containsNonDate="0" containsBlank="1" longText="1"/>
    </cacheField>
    <cacheField name="CBR revise" numFmtId="0">
      <sharedItems containsNonDate="0" containsBlank="1" longText="1"/>
    </cacheField>
    <cacheField name="Issues" numFmtId="0">
      <sharedItems containsNonDate="0" containsBlank="1" count="22">
        <s v="Empty file"/>
        <s v="Mismatch source data layout"/>
        <s v="Mismatch source data format_x000a_Mandatory null"/>
        <s v="Framework"/>
        <s v="Mismatch source data format"/>
        <s v="Unicode"/>
        <s v="Passed"/>
        <s v="Mismatch source data layout + Mandatory null"/>
        <m/>
        <s v="Mandatory null"/>
        <s v="Missing mandatory field"/>
        <s v="ACN"/>
        <s v="Control-M"/>
        <s v="Unicode_x000a_Mandatory null"/>
        <s v=" Missing Primary Key"/>
        <s v="KAS layout"/>
        <s v="Cluster size (out of mem)"/>
        <s v="New Requirement (Decrypt some record)_x000a_Mandatory null"/>
        <s v="Mismatch source data layout_x000a_Mandatory null_x000a_Unicode"/>
        <s v="Mismatch source data layout_x000a_Mandatory null_x000a_UnicodeDecode" u="1"/>
        <s v="UnicodeDecode" u="1"/>
        <s v="UnicodeDecode_x000a_Mandatory null" u="1"/>
      </sharedItems>
    </cacheField>
    <cacheField name="Note" numFmtId="0">
      <sharedItems containsNonDate="0" containsBlank="1" count="29">
        <s v="source (EBAN)"/>
        <s v="[1-April]_x000a_CBR"/>
        <s v="Framework need enhances"/>
        <s v="source"/>
        <s v="[1-April] _x000a_CBR_x000a_fixed length mapping"/>
        <m/>
        <s v="[1 April] _x000a_Investigate"/>
        <s v="extraction config pull DB"/>
        <s v="Unicode"/>
        <s v="[1 April]_x000a_init_x000a_spec"/>
        <s v="KAS layout"/>
        <s v="[1-April]_x000a_Source (EBAN)_x000a_CBR"/>
        <s v="[1-April] _x000a_CBR_x000a_spec mapping"/>
        <s v="pending re-order for Thai encode"/>
        <s v="RMST initial data : 2024-03-14, 2024-03-15, 2024-03-16, 2024-03-17 (fixed) , 2024-03-18 (fixed)"/>
        <s v="[1 April]_x000a_CBR" u="1"/>
        <s v="[1 April]_x000a_Investigate" u="1"/>
        <s v="[1 April] Investigate" u="1"/>
        <s v="[2 April]_x000a_pending test" u="1"/>
        <s v="[1-April]_x000a_pending test" u="1"/>
        <s v="Empty file" u="1"/>
        <s v="UnicodeDecode" u="1"/>
        <s v="pending CBR revise_x000a_spec mapping" u="1"/>
        <s v="[1-April] _x000a_pending CBR revise_x000a_or fixed length mapping" u="1"/>
        <s v="[1-April] _x000a_CBR" u="1"/>
        <s v="[1 April]  _x000a_Investigate TS03" u="1"/>
        <s v="[1 April]  _x000a_Investigate TS11,12" u="1"/>
        <s v="[1 April]_x000a_Investigate test result" u="1"/>
        <s v="[1 April]_x000a_pending test" u="1"/>
      </sharedItems>
    </cacheField>
    <cacheField name="Owner" numFmtId="0">
      <sharedItems containsNonDate="0" containsBlank="1"/>
    </cacheField>
    <cacheField name="Batch2" numFmtId="0">
      <sharedItems containsNonDate="0"/>
    </cacheField>
    <cacheField name="Batch3" numFmtId="0">
      <sharedItems containsNonDate="0" count="2">
        <b v="1"/>
        <b v="0"/>
      </sharedItems>
    </cacheField>
    <cacheField name="passed" numFmtId="0">
      <sharedItems containsNonDat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s v="cis_addr"/>
    <d v="2024-03-25T00:00:00"/>
    <s v="Passed"/>
    <x v="0"/>
    <m/>
    <m/>
  </r>
  <r>
    <x v="0"/>
    <s v="cis_ar"/>
    <d v="2024-03-25T00:00:00"/>
    <s v="Passed"/>
    <x v="0"/>
    <m/>
    <m/>
  </r>
  <r>
    <x v="0"/>
    <s v="cis_cntreltp"/>
    <d v="2024-03-25T00:00:00"/>
    <s v="Passed"/>
    <x v="0"/>
    <m/>
    <m/>
  </r>
  <r>
    <x v="0"/>
    <s v="cis_continfo"/>
    <d v="2024-03-25T00:00:00"/>
    <s v="Passed"/>
    <x v="0"/>
    <m/>
    <m/>
  </r>
  <r>
    <x v="0"/>
    <s v="cis_conttp"/>
    <d v="2024-03-25T00:00:00"/>
    <s v="Passed"/>
    <x v="0"/>
    <m/>
    <m/>
  </r>
  <r>
    <x v="0"/>
    <s v="cis_dntcnt"/>
    <d v="2024-03-25T00:00:00"/>
    <s v="Passed"/>
    <x v="0"/>
    <m/>
    <m/>
  </r>
  <r>
    <x v="0"/>
    <s v="cis_doctp"/>
    <d v="2024-03-25T00:00:00"/>
    <s v="Passed"/>
    <x v="0"/>
    <m/>
    <m/>
  </r>
  <r>
    <x v="0"/>
    <s v="cis_histsegm"/>
    <d v="2024-03-25T00:00:00"/>
    <s v="Passed"/>
    <x v="0"/>
    <m/>
    <m/>
  </r>
  <r>
    <x v="0"/>
    <s v="cis_idv"/>
    <d v="2024-03-25T00:00:00"/>
    <s v="Passed"/>
    <x v="0"/>
    <m/>
    <m/>
  </r>
  <r>
    <x v="0"/>
    <s v="cis_ip"/>
    <d v="2024-03-25T00:00:00"/>
    <s v="Passed"/>
    <x v="0"/>
    <m/>
    <m/>
  </r>
  <r>
    <x v="0"/>
    <s v="cis_ipsegment"/>
    <d v="2024-03-25T00:00:00"/>
    <s v="Passed"/>
    <x v="0"/>
    <m/>
    <m/>
  </r>
  <r>
    <x v="0"/>
    <s v="cis_ipxaddr"/>
    <d v="2024-03-25T00:00:00"/>
    <s v="Passed"/>
    <x v="0"/>
    <m/>
    <m/>
  </r>
  <r>
    <x v="0"/>
    <s v="cis_ipxar"/>
    <d v="2024-03-25T00:00:00"/>
    <s v="Passed"/>
    <x v="0"/>
    <m/>
    <m/>
  </r>
  <r>
    <x v="0"/>
    <s v="cis_ipxcontact"/>
    <d v="2024-03-25T00:00:00"/>
    <s v="Passed"/>
    <x v="0"/>
    <m/>
    <m/>
  </r>
  <r>
    <x v="0"/>
    <s v="cis_org"/>
    <d v="2024-03-25T00:00:00"/>
    <s v="Passed"/>
    <x v="0"/>
    <m/>
    <m/>
  </r>
  <r>
    <x v="0"/>
    <s v="cis_othdoc"/>
    <d v="2024-03-25T00:00:00"/>
    <s v="Passed"/>
    <x v="0"/>
    <m/>
    <m/>
  </r>
  <r>
    <x v="0"/>
    <s v="cis_relar"/>
    <d v="2024-03-25T00:00:00"/>
    <s v="Passed"/>
    <x v="0"/>
    <m/>
    <m/>
  </r>
  <r>
    <x v="1"/>
    <s v="csm_action"/>
    <d v="2024-03-25T00:00:00"/>
    <s v="Passed"/>
    <x v="0"/>
    <m/>
    <m/>
  </r>
  <r>
    <x v="1"/>
    <s v="csm_channel"/>
    <d v="2024-03-25T00:00:00"/>
    <s v="Passed"/>
    <x v="0"/>
    <m/>
    <m/>
  </r>
  <r>
    <x v="1"/>
    <s v="csm_company"/>
    <d v="2024-03-25T00:00:00"/>
    <s v="Passed"/>
    <x v="0"/>
    <m/>
    <m/>
  </r>
  <r>
    <x v="1"/>
    <s v="csm_custxformxconsent"/>
    <d v="2024-03-25T00:00:00"/>
    <s v="Passed"/>
    <x v="0"/>
    <m/>
    <m/>
  </r>
  <r>
    <x v="1"/>
    <s v="csm_custxformxconsentderived"/>
    <d v="2024-03-25T00:00:00"/>
    <s v="Passed"/>
    <x v="1"/>
    <s v="https://adb-1225054441296002.2.azuredatabricks.net/?o=1225054441296002#job/847414196180011/run/208058610995029_x000a_"/>
    <s v="Failed dependency checking: The job is not ready due to failures in prerequisite jobs."/>
  </r>
  <r>
    <x v="1"/>
    <s v="csm_custxformxconsentderivedlog"/>
    <d v="2024-03-25T00:00:00"/>
    <s v="Passed"/>
    <x v="1"/>
    <s v="https://adb-1225054441296002.2.azuredatabricks.net/?o=1225054441296002#job/847414196180011/run/677383381515210_x000a_"/>
    <s v="Failed dependency checking: The job is not ready due to failures in prerequisite jobs."/>
  </r>
  <r>
    <x v="1"/>
    <s v="csm_custxformxconsentlog"/>
    <d v="2024-03-25T00:00:00"/>
    <s v="Passed"/>
    <x v="1"/>
    <s v="https://adb-1225054441296002.2.azuredatabricks.net/?o=1225054441296002#job/847414196180011/run/11022580495261_x000a_"/>
    <s v="Failed dependency checking: The job is not ready due to failures in prerequisite jobs."/>
  </r>
  <r>
    <x v="1"/>
    <s v="csm_downstreamconfig"/>
    <d v="2024-03-25T00:00:00"/>
    <s v="Passed"/>
    <x v="0"/>
    <m/>
    <m/>
  </r>
  <r>
    <x v="1"/>
    <s v="csm_downstreamrules"/>
    <d v="2024-03-25T00:00:00"/>
    <s v="Passed"/>
    <x v="0"/>
    <m/>
    <m/>
  </r>
  <r>
    <x v="1"/>
    <s v="csm_formconsent"/>
    <d v="2024-03-25T00:00:00"/>
    <s v="Passed"/>
    <x v="0"/>
    <m/>
    <m/>
  </r>
  <r>
    <x v="1"/>
    <s v="csm_formxappr"/>
    <d v="2024-03-25T00:00:00"/>
    <s v="Passed"/>
    <x v="0"/>
    <m/>
    <m/>
  </r>
  <r>
    <x v="1"/>
    <s v="csm_formxcontent"/>
    <d v="2024-03-25T00:00:00"/>
    <s v="Passed"/>
    <x v="0"/>
    <m/>
    <m/>
  </r>
  <r>
    <x v="1"/>
    <s v="csm_originateproductcoa"/>
    <d v="2024-03-25T00:00:00"/>
    <s v="Passed"/>
    <x v="0"/>
    <m/>
    <m/>
  </r>
  <r>
    <x v="1"/>
    <s v="csm_originateproductnoncoa"/>
    <d v="2024-03-25T00:00:00"/>
    <s v="Passed"/>
    <x v="0"/>
    <m/>
    <m/>
  </r>
  <r>
    <x v="1"/>
    <s v="csm_product"/>
    <d v="2024-03-25T00:00:00"/>
    <s v="Passed"/>
    <x v="0"/>
    <m/>
    <m/>
  </r>
  <r>
    <x v="1"/>
    <s v="csm_purpose"/>
    <d v="2024-03-25T00:00:00"/>
    <s v="Passed"/>
    <x v="0"/>
    <m/>
    <m/>
  </r>
  <r>
    <x v="1"/>
    <s v="csm_receivertype"/>
    <d v="2024-03-25T00:00:00"/>
    <s v="Passed"/>
    <x v="0"/>
    <m/>
    <m/>
  </r>
  <r>
    <x v="2"/>
    <s v="rdm_card_tp_cd"/>
    <d v="2024-03-25T00:00:00"/>
    <s v="Passed"/>
    <x v="0"/>
    <m/>
    <m/>
  </r>
  <r>
    <x v="2"/>
    <s v="rdm_cst_ctf_tp_cd"/>
    <d v="2024-03-25T00:00:00"/>
    <s v="Passed"/>
    <x v="0"/>
    <m/>
    <m/>
  </r>
  <r>
    <x v="2"/>
    <s v="rdm_cst_idv_incm_seg_cd"/>
    <d v="2024-03-25T00:00:00"/>
    <s v="Passed"/>
    <x v="0"/>
    <m/>
    <m/>
  </r>
  <r>
    <x v="2"/>
    <s v="rdm_cst_ip_lgl_stc_tp_cd"/>
    <d v="2024-03-25T00:00:00"/>
    <s v="Passed"/>
    <x v="0"/>
    <m/>
    <m/>
  </r>
  <r>
    <x v="2"/>
    <s v="rdm_cst_mar_st_cd"/>
    <d v="2024-03-25T00:00:00"/>
    <s v="Passed"/>
    <x v="0"/>
    <m/>
    <m/>
  </r>
  <r>
    <x v="2"/>
    <s v="rdm_cst_nat_cd"/>
    <d v="2024-03-25T00:00:00"/>
    <s v="Passed"/>
    <x v="0"/>
    <m/>
    <m/>
  </r>
  <r>
    <x v="2"/>
    <s v="rdm_cst_ocp_cd"/>
    <d v="2024-03-25T00:00:00"/>
    <s v="Passed"/>
    <x v="0"/>
    <m/>
    <m/>
  </r>
  <r>
    <x v="2"/>
    <s v="rdm_cst_prof_cd"/>
    <d v="2024-03-25T00:00:00"/>
    <s v="Passed"/>
    <x v="0"/>
    <m/>
    <m/>
  </r>
  <r>
    <x v="2"/>
    <s v="rdm_cst_seg_cd"/>
    <d v="2024-03-25T00:00:00"/>
    <s v="Passed"/>
    <x v="0"/>
    <m/>
    <m/>
  </r>
  <r>
    <x v="2"/>
    <s v="rdm_idy_cl_cd"/>
    <d v="2024-03-25T00:00:00"/>
    <s v="Passed"/>
    <x v="0"/>
    <m/>
    <m/>
  </r>
  <r>
    <x v="2"/>
    <s v="rdm_idy_cl_sub_grp_cd"/>
    <d v="2024-03-25T00:00:00"/>
    <s v="Passed"/>
    <x v="0"/>
    <m/>
    <m/>
  </r>
  <r>
    <x v="2"/>
    <s v="rdm_pim_coa_pd"/>
    <d v="2024-03-25T00:00:00"/>
    <s v="Passed"/>
    <x v="0"/>
    <m/>
    <m/>
  </r>
  <r>
    <x v="3"/>
    <s v="ccms_bda772n2_cardholder_full_dih_enc"/>
    <d v="2024-03-25T00:00:00"/>
    <s v="Passed"/>
    <x v="0"/>
    <m/>
    <m/>
  </r>
  <r>
    <x v="3"/>
    <s v="ccms_bda772n4_cardregister"/>
    <d v="2024-03-25T00:00:00"/>
    <s v="Passed"/>
    <x v="0"/>
    <m/>
    <m/>
  </r>
  <r>
    <x v="3"/>
    <s v="ccms_bda772n5_listcardtype"/>
    <d v="2024-03-25T00:00:00"/>
    <s v="Passed"/>
    <x v="0"/>
    <m/>
    <m/>
  </r>
  <r>
    <x v="3"/>
    <s v="ccms_bp772n1_cardholder_purge"/>
    <d v="2024-03-15T00:00:00"/>
    <s v="Passed"/>
    <x v="0"/>
    <m/>
    <m/>
  </r>
  <r>
    <x v="4"/>
    <s v="lpm_x_ip_rel"/>
    <d v="2023-07-14T00:00:00"/>
    <s v="Passed"/>
    <x v="1"/>
    <s v="https://adb-1225054441296002.2.azuredatabricks.net/?o=1225054441296002#job/847414196180011/run/500508920364717_x000a_https://adb-1225054441296002.2.azuredatabricks.net/?o=1225054441296002#job/847414196180011/run/500508920364717_x000a_"/>
    <s v="Failed dependency checking: The job is not ready due to failures in prerequisite jobs. "/>
  </r>
  <r>
    <x v="4"/>
    <s v="lpm_x_ip_rel"/>
    <d v="2023-07-15T00:00:00"/>
    <s v="Passed"/>
    <x v="1"/>
    <s v="https://adb-1225054441296002.2.azuredatabricks.net/?o=1225054441296002#job/847414196180011/run/69449439651921_x000a_"/>
    <s v="Failed dependency checking: The job is not ready due to failures in prerequisite jobs. "/>
  </r>
  <r>
    <x v="4"/>
    <s v="lpm_as400_ar_clss_qly_m"/>
    <m/>
    <s v="In Progress"/>
    <x v="2"/>
    <m/>
    <m/>
  </r>
  <r>
    <x v="4"/>
    <s v="lpm_as400_ar_wrtof_rcv_m"/>
    <m/>
    <s v="In Progress"/>
    <x v="2"/>
    <m/>
    <m/>
  </r>
  <r>
    <x v="4"/>
    <s v="lpm_as400_lmt_ar_inf_bfr_wrtof_d"/>
    <m/>
    <s v="In Progress"/>
    <x v="2"/>
    <m/>
    <m/>
  </r>
  <r>
    <x v="4"/>
    <s v="lpm_as400_lmt_inf_bfr_wrtof_d"/>
    <m/>
    <s v="In Progress"/>
    <x v="2"/>
    <m/>
    <m/>
  </r>
  <r>
    <x v="4"/>
    <s v="lpm_as400_ln_card_clss_prvn_m"/>
    <m/>
    <s v="In Progress"/>
    <x v="2"/>
    <m/>
    <m/>
  </r>
  <r>
    <x v="4"/>
    <s v="lpm_as400_ln_cntg_clss_prvn_bfr_wrtof_m"/>
    <m/>
    <s v="In Progress"/>
    <x v="2"/>
    <m/>
    <m/>
  </r>
  <r>
    <x v="4"/>
    <s v="lpm_as400_ln_cntg_clss_prvn_m"/>
    <m/>
    <s v="In Progress"/>
    <x v="2"/>
    <m/>
    <m/>
  </r>
  <r>
    <x v="4"/>
    <s v="lpm_as400_ln_cntg_dmmy_clss_prvn_m"/>
    <m/>
    <s v="In Progress"/>
    <x v="2"/>
    <m/>
    <m/>
  </r>
  <r>
    <x v="5"/>
    <s v="lpm_wrtoff_pscp_wo_wo1d04h_sam_m"/>
    <m/>
    <s v="In Progress"/>
    <x v="2"/>
    <m/>
    <m/>
  </r>
  <r>
    <x v="6"/>
    <s v="SalesSmart_Customer"/>
    <d v="2024-03-25T00:00:00"/>
    <s v="Passed"/>
    <x v="1"/>
    <s v="https://adb-1225054441296002.2.azuredatabricks.net/jobs/209860476102323/runs/278703411266153?o=1225054441296002"/>
    <s v="Failed dependency checking: The job is not ready due to failures in prerequisite jobs. "/>
  </r>
  <r>
    <x v="7"/>
    <s v="mx_limiteffective"/>
    <d v="2024-03-19T00:00:00"/>
    <s v="Passed"/>
    <x v="0"/>
    <m/>
    <m/>
  </r>
  <r>
    <x v="7"/>
    <s v="mx_mktevent"/>
    <d v="2024-03-19T00:00:00"/>
    <s v="Passed"/>
    <x v="0"/>
    <m/>
    <m/>
  </r>
  <r>
    <x v="7"/>
    <s v="mx_mmlivemat"/>
    <d v="2024-03-19T00:00:00"/>
    <s v="Passed"/>
    <x v="0"/>
    <m/>
    <m/>
  </r>
  <r>
    <x v="7"/>
    <s v="mx_report_limit_ctp_funded_forint"/>
    <d v="2024-03-19T00:00:00"/>
    <s v="Passed"/>
    <x v="0"/>
    <m/>
    <m/>
  </r>
  <r>
    <x v="7"/>
    <s v="mx_report_limit_pse_forint"/>
    <d v="2024-03-19T00:00:00"/>
    <s v="Passed"/>
    <x v="0"/>
    <m/>
    <m/>
  </r>
  <r>
    <x v="7"/>
    <s v="mx_report_limit_se_forint"/>
    <d v="2024-03-19T00:00:00"/>
    <s v="Passed"/>
    <x v="0"/>
    <m/>
    <m/>
  </r>
  <r>
    <x v="7"/>
    <s v="mx_reset_lp_ctp_funded_forint"/>
    <d v="2024-03-19T00:00:00"/>
    <s v="Passed"/>
    <x v="0"/>
    <m/>
    <m/>
  </r>
  <r>
    <x v="7"/>
    <s v="mx_reset_mplcde_forint"/>
    <d v="2024-03-19T00:00:00"/>
    <s v="Passed"/>
    <x v="0"/>
    <m/>
    <m/>
  </r>
  <r>
    <x v="7"/>
    <s v="mx_src_murx_deal_ar"/>
    <m/>
    <s v="In Progress"/>
    <x v="2"/>
    <m/>
    <m/>
  </r>
  <r>
    <x v="8"/>
    <s v="fcd_ar"/>
    <d v="2024-03-20T00:00:00"/>
    <s v="Passed"/>
    <x v="0"/>
    <m/>
    <m/>
  </r>
  <r>
    <x v="9"/>
    <s v="gts_dbtl4xl6"/>
    <d v="2024-03-21T00:00:00"/>
    <s v="Passed"/>
    <x v="0"/>
    <m/>
    <m/>
  </r>
  <r>
    <x v="9"/>
    <s v="gts_dbttnrel"/>
    <d v="2024-03-21T00:00:00"/>
    <s v="Passed"/>
    <x v="0"/>
    <m/>
    <m/>
  </r>
  <r>
    <x v="9"/>
    <s v="gts_kbgt_cont_outstanding"/>
    <m/>
    <s v="In Progress"/>
    <x v="2"/>
    <m/>
    <m/>
  </r>
  <r>
    <x v="9"/>
    <s v="gts_kbgt_limit_allocated"/>
    <m/>
    <s v="In Progress"/>
    <x v="2"/>
    <m/>
    <m/>
  </r>
  <r>
    <x v="9"/>
    <s v="gts_kbgt_limit"/>
    <m/>
    <s v="In Progress"/>
    <x v="2"/>
    <m/>
    <m/>
  </r>
  <r>
    <x v="9"/>
    <s v="gts_kbgt_loan_outstanding"/>
    <m/>
    <s v="In Progress"/>
    <x v="2"/>
    <m/>
    <m/>
  </r>
  <r>
    <x v="10"/>
    <s v="pcb_dep_cb2d0005_odencitd_sam"/>
    <d v="2024-03-26T00:00:00"/>
    <s v="Passed"/>
    <x v="0"/>
    <m/>
    <m/>
  </r>
  <r>
    <x v="10"/>
    <s v="pcb_dep_cls500029"/>
    <m/>
    <s v="In Progress"/>
    <x v="2"/>
    <m/>
    <m/>
  </r>
  <r>
    <x v="10"/>
    <s v="pcb_dep_deptxn_db"/>
    <m/>
    <s v="In Progress"/>
    <x v="2"/>
    <m/>
    <m/>
  </r>
  <r>
    <x v="10"/>
    <s v="pcb_dep_extrate1"/>
    <d v="2024-03-26T00:00:00"/>
    <s v="Passed"/>
    <x v="0"/>
    <m/>
    <m/>
  </r>
  <r>
    <x v="10"/>
    <s v="pcb_dep_src_pf_ar_ca_cr_inf_dly"/>
    <m/>
    <s v="In Progress"/>
    <x v="2"/>
    <m/>
    <m/>
  </r>
  <r>
    <x v="10"/>
    <s v="pcb_dep_src_pf_ar_ca_dly"/>
    <m/>
    <s v="In Progress"/>
    <x v="2"/>
    <m/>
    <m/>
  </r>
  <r>
    <x v="10"/>
    <s v="pcb_dep_src_pf_ar_ca_limit_dly"/>
    <d v="2024-03-20T00:00:00"/>
    <s v="Passed"/>
    <x v="0"/>
    <m/>
    <m/>
  </r>
  <r>
    <x v="10"/>
    <s v="pcb_dep_src_pf_ar_fx_dly"/>
    <m/>
    <s v="In Progress"/>
    <x v="2"/>
    <m/>
    <m/>
  </r>
  <r>
    <x v="10"/>
    <s v="pcb_dep_src_pf_ar_sa_dly"/>
    <m/>
    <s v="In Progress"/>
    <x v="2"/>
    <m/>
    <m/>
  </r>
  <r>
    <x v="10"/>
    <s v="pcb_dep_src_pf_ar_sf_dly"/>
    <m/>
    <s v="In Progress"/>
    <x v="2"/>
    <m/>
    <m/>
  </r>
  <r>
    <x v="10"/>
    <s v="pcb_dep_src_pf_txn_mis_eft_dly"/>
    <m/>
    <s v="In Progress"/>
    <x v="2"/>
    <m/>
    <m/>
  </r>
  <r>
    <x v="11"/>
    <s v="pcb_loan_common_account_info"/>
    <m/>
    <s v="In Progress"/>
    <x v="2"/>
    <m/>
    <m/>
  </r>
  <r>
    <x v="11"/>
    <s v="pcb_loan_common_account_tier_by_time"/>
    <d v="2024-03-20T00:00:00"/>
    <s v="Passed"/>
    <x v="0"/>
    <m/>
    <m/>
  </r>
  <r>
    <x v="11"/>
    <s v="pcb_loan_common_limit_info"/>
    <m/>
    <s v="In Progress"/>
    <x v="2"/>
    <m/>
    <m/>
  </r>
  <r>
    <x v="11"/>
    <s v="pcb_loan_common_loan_purpose_table"/>
    <m/>
    <s v="In Progress"/>
    <x v="2"/>
    <m/>
    <m/>
  </r>
  <r>
    <x v="11"/>
    <s v="pcb_loan_common_market_code"/>
    <m/>
    <s v="In Progress"/>
    <x v="2"/>
    <m/>
    <m/>
  </r>
  <r>
    <x v="11"/>
    <s v="pcb_loan_common_product_type"/>
    <m/>
    <s v="In Progress"/>
    <x v="2"/>
    <m/>
    <m/>
  </r>
  <r>
    <x v="11"/>
    <s v="pcb_loan_common_rate_type"/>
    <m/>
    <s v="In Progress"/>
    <x v="2"/>
    <m/>
    <m/>
  </r>
  <r>
    <x v="11"/>
    <s v="pcb_loan_common_sub_type"/>
    <m/>
    <s v="In Progress"/>
    <x v="2"/>
    <m/>
    <m/>
  </r>
  <r>
    <x v="11"/>
    <s v="pcb_loan_common_transaction_file"/>
    <d v="2024-03-20T00:00:00"/>
    <s v="Passed"/>
    <x v="0"/>
    <m/>
    <m/>
  </r>
  <r>
    <x v="12"/>
    <s v="cardlink_kb1dh001_cp1t170_s"/>
    <m/>
    <s v="In Progress"/>
    <x v="2"/>
    <m/>
    <m/>
  </r>
  <r>
    <x v="12"/>
    <s v="cardlink_kb1dh002_cp1t170_s"/>
    <m/>
    <s v="In Progress"/>
    <x v="2"/>
    <m/>
    <m/>
  </r>
  <r>
    <x v="12"/>
    <s v="cardlink_kb1dh002_cpbcrd"/>
    <m/>
    <s v="In Progress"/>
    <x v="2"/>
    <m/>
    <m/>
  </r>
  <r>
    <x v="12"/>
    <s v="cardlink_kb1dh003_cpbcus"/>
    <m/>
    <s v="In Progress"/>
    <x v="2"/>
    <m/>
    <m/>
  </r>
  <r>
    <x v="12"/>
    <s v="cardlink_kb1dh005_kbbcrd"/>
    <m/>
    <s v="In Progress"/>
    <x v="2"/>
    <m/>
    <m/>
  </r>
  <r>
    <x v="12"/>
    <s v="cardlink_kb1dh006_kbbcus"/>
    <m/>
    <s v="In Progress"/>
    <x v="2"/>
    <m/>
    <m/>
  </r>
  <r>
    <x v="12"/>
    <s v="cardlink_kb1dh007_cpahf"/>
    <m/>
    <s v="In Progress"/>
    <x v="2"/>
    <m/>
    <m/>
  </r>
  <r>
    <x v="12"/>
    <s v="cardlink_kb1dh011_cc1d2027"/>
    <m/>
    <s v="In Progress"/>
    <x v="2"/>
    <m/>
    <m/>
  </r>
  <r>
    <x v="12"/>
    <s v="cardlink_kb1dh012_cpcah_m"/>
    <m/>
    <s v="In Progress"/>
    <x v="2"/>
    <m/>
    <m/>
  </r>
  <r>
    <x v="12"/>
    <s v="cardlink_kb1dh013_eptrans"/>
    <d v="2024-03-27T00:00:00"/>
    <s v="Passed"/>
    <x v="1"/>
    <s v="Run of Ingestion_Framework of mdp-framework-1.5.0 - Databricks (azuredatabricks.net)"/>
    <s v="utf-8' codec can't decode byte 0xa8 in position 3947: invalid start byte"/>
  </r>
  <r>
    <x v="12"/>
    <s v="cardlink_kb1dh014_cc1dmpgl"/>
    <m/>
    <s v="In Progress"/>
    <x v="2"/>
    <m/>
    <m/>
  </r>
  <r>
    <x v="12"/>
    <s v="cardlink_kb1dh017_cpamt"/>
    <m/>
    <s v="In Progress"/>
    <x v="2"/>
    <m/>
    <m/>
  </r>
  <r>
    <x v="12"/>
    <s v="cardlink_kb1dh018_cpsrptt"/>
    <m/>
    <s v="In Progress"/>
    <x v="2"/>
    <m/>
    <m/>
  </r>
  <r>
    <x v="12"/>
    <s v="cardlink_kb1dh019_cc1t377"/>
    <m/>
    <s v="In Progress"/>
    <x v="2"/>
    <m/>
    <m/>
  </r>
  <r>
    <x v="12"/>
    <s v="cardlink_kb1dh020_cc1d582d"/>
    <m/>
    <s v="In Progress"/>
    <x v="2"/>
    <m/>
    <m/>
  </r>
  <r>
    <x v="12"/>
    <s v="cardlink_kb1dh021_cc1d582s"/>
    <m/>
    <s v="In Progress"/>
    <x v="2"/>
    <m/>
    <m/>
  </r>
  <r>
    <x v="12"/>
    <s v="cardlink_kb1dh022_oadcc32"/>
    <m/>
    <s v="In Progress"/>
    <x v="2"/>
    <m/>
    <m/>
  </r>
  <r>
    <x v="12"/>
    <s v="cardlink_kb1dh023_lbpttrn"/>
    <m/>
    <s v="In Progress"/>
    <x v="2"/>
    <m/>
    <m/>
  </r>
  <r>
    <x v="12"/>
    <s v="cardlink_kb1dh024_cc1d560"/>
    <m/>
    <s v="In Progress"/>
    <x v="2"/>
    <m/>
    <m/>
  </r>
  <r>
    <x v="12"/>
    <s v="cardlink_kb1dh025_cpcah"/>
    <m/>
    <s v="In Progress"/>
    <x v="2"/>
    <m/>
    <m/>
  </r>
  <r>
    <x v="12"/>
    <s v="cardlink_kb1dh028_ccixpt"/>
    <m/>
    <s v="In Progress"/>
    <x v="2"/>
    <m/>
    <m/>
  </r>
  <r>
    <x v="12"/>
    <s v="cardlink_kb1dh029_ccatabla"/>
    <m/>
    <s v="In Progress"/>
    <x v="2"/>
    <m/>
    <m/>
  </r>
  <r>
    <x v="12"/>
    <s v="cardlink_kb1dh030_cuptran"/>
    <m/>
    <s v="In Progress"/>
    <x v="2"/>
    <m/>
    <m/>
  </r>
  <r>
    <x v="12"/>
    <s v="cardlink_kb1dh031_cc1d583b"/>
    <m/>
    <s v="In Progress"/>
    <x v="2"/>
    <m/>
    <m/>
  </r>
  <r>
    <x v="12"/>
    <s v="cardlink_kb1dh032_addtype_o"/>
    <m/>
    <s v="In Progress"/>
    <x v="2"/>
    <m/>
    <m/>
  </r>
  <r>
    <x v="12"/>
    <s v="cardlink_kb1dh037_cpccpf_d"/>
    <m/>
    <s v="In Progress"/>
    <x v="2"/>
    <m/>
    <m/>
  </r>
  <r>
    <x v="12"/>
    <s v="cardlink_kb1dh037_cpccpf_p"/>
    <m/>
    <s v="In Progress"/>
    <x v="2"/>
    <m/>
    <m/>
  </r>
  <r>
    <x v="12"/>
    <s v="cardlink_kb1dh037_cptcpf_d"/>
    <m/>
    <s v="In Progress"/>
    <x v="2"/>
    <m/>
    <m/>
  </r>
  <r>
    <x v="12"/>
    <s v="cardlink_kb1dh037_cptcpf_p"/>
    <m/>
    <s v="In Progress"/>
    <x v="2"/>
    <m/>
    <m/>
  </r>
  <r>
    <x v="12"/>
    <s v="cardlink_kb1dh038_cc1d5012"/>
    <m/>
    <s v="In Progress"/>
    <x v="2"/>
    <m/>
    <m/>
  </r>
  <r>
    <x v="12"/>
    <s v="cardlink_kb1dh039_ccnd5012"/>
    <m/>
    <s v="In Progress"/>
    <x v="2"/>
    <m/>
    <m/>
  </r>
  <r>
    <x v="12"/>
    <s v="cardlink_kb1dh045_cc1d289g"/>
    <m/>
    <s v="In Progress"/>
    <x v="2"/>
    <m/>
    <m/>
  </r>
  <r>
    <x v="12"/>
    <s v="cardlink_la10s_oatkn"/>
    <m/>
    <s v="In Progress"/>
    <x v="2"/>
    <m/>
    <m/>
  </r>
  <r>
    <x v="12"/>
    <s v="cardlink_lb1dh002_lbcrd"/>
    <m/>
    <s v="In Progress"/>
    <x v="2"/>
    <m/>
    <m/>
  </r>
  <r>
    <x v="12"/>
    <s v="cardlink_odscc_ccv2_jcb"/>
    <m/>
    <s v="In Progress"/>
    <x v="2"/>
    <m/>
    <m/>
  </r>
  <r>
    <x v="13"/>
    <s v="cardlink_acq_ci1d1166_crdhd"/>
    <d v="2024-03-26T00:00:00"/>
    <s v="Passed"/>
    <x v="1"/>
    <s v="Run of Ingestion_Framework of mdp-framework-1.5.0 - Databricks (azuredatabricks.net)"/>
    <s v="UnicodeDecodeError: 'utf-8' codec can't decode byte 0xff in position 6584: invalid start byte"/>
  </r>
  <r>
    <x v="13"/>
    <s v="cardlink_acq_ci1d1167_cardtype"/>
    <d v="2024-03-13T00:00:00"/>
    <s v="Passed"/>
    <x v="1"/>
    <s v="Run of Ingestion_Framework of mdp-framework-1.5.0 - Databricks (azuredatabricks.net)"/>
    <s v="Detecting empty files is not allowed"/>
  </r>
  <r>
    <x v="13"/>
    <s v="cardlink_acq_ci1d1178_crdreg"/>
    <d v="2024-03-26T00:00:00"/>
    <s v="Passed"/>
    <x v="0"/>
    <m/>
    <m/>
  </r>
  <r>
    <x v="14"/>
    <s v="hris_staff_accnt_vw"/>
    <d v="2024-03-26T00:00:00"/>
    <s v="Passed"/>
    <x v="0"/>
    <m/>
    <m/>
  </r>
  <r>
    <x v="15"/>
    <s v="hrcrc_vc_rc_cd"/>
    <m/>
    <s v="In Progress"/>
    <x v="2"/>
    <m/>
    <m/>
  </r>
  <r>
    <x v="16"/>
    <s v="lec_lecp_lec3d18"/>
    <d v="2020-03-20T00:00:00"/>
    <s v="Passed"/>
    <x v="0"/>
    <m/>
    <m/>
  </r>
  <r>
    <x v="17"/>
    <s v="kplus_actlog_qlocal"/>
    <m/>
    <s v="In Progress"/>
    <x v="2"/>
    <m/>
    <m/>
  </r>
  <r>
    <x v="17"/>
    <s v="kplus_jmobileactlog_log"/>
    <m/>
    <s v="In Progress"/>
    <x v="2"/>
    <m/>
    <m/>
  </r>
  <r>
    <x v="17"/>
    <s v="kplus_jmobiletranloghd"/>
    <d v="2024-03-25T00:00:00"/>
    <s v="Passed"/>
    <x v="0"/>
    <m/>
    <m/>
  </r>
  <r>
    <x v="17"/>
    <s v="kplus_view_balancealertreglog_log"/>
    <d v="2018-08-06T00:00:00"/>
    <s v="Passed"/>
    <x v="0"/>
    <m/>
    <m/>
  </r>
  <r>
    <x v="17"/>
    <s v="kplus_view_jmobileacctcard_log"/>
    <m/>
    <s v="In Progress"/>
    <x v="2"/>
    <m/>
    <m/>
  </r>
  <r>
    <x v="17"/>
    <s v="kplus_view_jmobile_log"/>
    <d v="2024-03-25T00:00:00"/>
    <s v="Passed"/>
    <x v="0"/>
    <m/>
    <m/>
  </r>
  <r>
    <x v="17"/>
    <s v="kplus_view_simbankbankinfo_log"/>
    <d v="2024-03-10T00:00:00"/>
    <s v="Passed"/>
    <x v="0"/>
    <m/>
    <m/>
  </r>
  <r>
    <x v="18"/>
    <s v="dgtl_fctrng_fact_acct"/>
    <m/>
    <s v="In Progress"/>
    <x v="2"/>
    <m/>
    <m/>
  </r>
  <r>
    <x v="18"/>
    <s v="dgtl_fctrng_v_cis"/>
    <d v="2024-03-25T00:00:00"/>
    <s v="Passed"/>
    <x v="0"/>
    <m/>
    <m/>
  </r>
  <r>
    <x v="18"/>
    <s v="dgtl_fctrng_v_clientdebtor"/>
    <m/>
    <s v="In Progress"/>
    <x v="2"/>
    <m/>
    <m/>
  </r>
  <r>
    <x v="18"/>
    <s v="dgtl_fctrng_v_clientlimit"/>
    <d v="2024-03-25T00:00:00"/>
    <s v="Passed"/>
    <x v="0"/>
    <m/>
    <m/>
  </r>
  <r>
    <x v="18"/>
    <s v="dgtl_fctrng_v_company"/>
    <m/>
    <s v="In Progress"/>
    <x v="2"/>
    <m/>
    <m/>
  </r>
  <r>
    <x v="18"/>
    <s v="dgtl_fctrng_v_interestspread"/>
    <d v="2024-03-25T00:00:00"/>
    <s v="Passed"/>
    <x v="0"/>
    <m/>
    <m/>
  </r>
  <r>
    <x v="18"/>
    <s v="dgtl_fctrng_v_product"/>
    <d v="2024-03-25T00:00:00"/>
    <s v="Passed"/>
    <x v="0"/>
    <m/>
    <m/>
  </r>
  <r>
    <x v="18"/>
    <s v="dgtl_fctrng_v_purref"/>
    <d v="2024-03-25T00:00:00"/>
    <s v="Passed"/>
    <x v="0"/>
    <m/>
    <m/>
  </r>
  <r>
    <x v="19"/>
    <s v="scf_customer"/>
    <m/>
    <s v="In Progress"/>
    <x v="2"/>
    <m/>
    <m/>
  </r>
  <r>
    <x v="19"/>
    <s v="scf_product_map"/>
    <d v="2024-03-25T00:00:00"/>
    <s v="Passed"/>
    <x v="0"/>
    <m/>
    <m/>
  </r>
  <r>
    <x v="19"/>
    <s v="scf_trading"/>
    <m/>
    <s v="In Progress"/>
    <x v="2"/>
    <m/>
    <m/>
  </r>
  <r>
    <x v="19"/>
    <s v="scf_vw_cm_fee_structure"/>
    <d v="2024-03-25T00:00:00"/>
    <s v="Passed"/>
    <x v="0"/>
    <m/>
    <m/>
  </r>
  <r>
    <x v="19"/>
    <s v="scf_vw_rdt_scf_cl_acct"/>
    <d v="2024-03-25T00:00:00"/>
    <s v="Passed"/>
    <x v="0"/>
    <m/>
    <m/>
  </r>
  <r>
    <x v="19"/>
    <s v="scf_vw_rdt_scf_cl"/>
    <d v="2024-03-25T00:00:00"/>
    <s v="Passed"/>
    <x v="0"/>
    <m/>
    <m/>
  </r>
  <r>
    <x v="19"/>
    <s v="scf_vw_scm_acct"/>
    <d v="2024-03-25T00:00:00"/>
    <s v="Passed"/>
    <x v="0"/>
    <m/>
    <m/>
  </r>
  <r>
    <x v="19"/>
    <s v="scf_vw_sct_book_loan"/>
    <m/>
    <s v="In Progress"/>
    <x v="2"/>
    <m/>
    <m/>
  </r>
  <r>
    <x v="19"/>
    <s v="scf_vw_trading_acct"/>
    <d v="2024-03-25T00:00:00"/>
    <s v="Passed"/>
    <x v="0"/>
    <m/>
    <m/>
  </r>
  <r>
    <x v="20"/>
    <s v="ud_ka_fundcode"/>
    <m/>
    <s v="In Progress"/>
    <x v="2"/>
    <m/>
    <m/>
  </r>
  <r>
    <x v="20"/>
    <s v="ud_privatefund_balance"/>
    <m/>
    <s v="In Progress"/>
    <x v="2"/>
    <m/>
    <m/>
  </r>
  <r>
    <x v="20"/>
    <s v="ud_vw_fi_fnd_inf_ful"/>
    <m/>
    <s v="In Progress"/>
    <x v="2"/>
    <m/>
    <m/>
  </r>
  <r>
    <x v="20"/>
    <s v="ud_vw_flt_div_pmt_inc"/>
    <m/>
    <s v="In Progress"/>
    <x v="2"/>
    <m/>
    <m/>
  </r>
  <r>
    <x v="20"/>
    <s v="ud_vw_flt_dp_div_cert_inc"/>
    <m/>
    <s v="In Progress"/>
    <x v="2"/>
    <m/>
    <m/>
  </r>
  <r>
    <x v="20"/>
    <s v="ud_vw_flt_rl_sub_bal_enq"/>
    <d v="2024-03-25T00:00:00"/>
    <s v="Passed"/>
    <x v="0"/>
    <m/>
    <m/>
  </r>
  <r>
    <x v="20"/>
    <s v="ud_vw_kgroup_sidetexttbl"/>
    <m/>
    <s v="In Progress"/>
    <x v="2"/>
    <m/>
    <m/>
  </r>
  <r>
    <x v="20"/>
    <s v="ud_vw_transactioneodext"/>
    <m/>
    <s v="In Progress"/>
    <x v="2"/>
    <m/>
    <m/>
  </r>
  <r>
    <x v="20"/>
    <s v="ud_vw_transactionext"/>
    <m/>
    <s v="In Progress"/>
    <x v="2"/>
    <m/>
    <m/>
  </r>
  <r>
    <x v="20"/>
    <s v="ud_vw_t_su_sub_uh_ful"/>
    <m/>
    <s v="In Progress"/>
    <x v="2"/>
    <m/>
    <m/>
  </r>
  <r>
    <x v="20"/>
    <s v="ud_vw_t_uh_uh_ful"/>
    <m/>
    <s v="In Progress"/>
    <x v="2"/>
    <m/>
    <m/>
  </r>
  <r>
    <x v="21"/>
    <s v="ks_custprofile_s"/>
    <m/>
    <s v="In Progress"/>
    <x v="2"/>
    <m/>
    <m/>
  </r>
  <r>
    <x v="21"/>
    <s v="ks_fundmaster_s"/>
    <m/>
    <s v="In Progress"/>
    <x v="2"/>
    <m/>
    <m/>
  </r>
  <r>
    <x v="21"/>
    <s v="ks_fundportfolio_s"/>
    <m/>
    <s v="In Progress"/>
    <x v="2"/>
    <m/>
    <m/>
  </r>
  <r>
    <x v="22"/>
    <s v="trade_na_lcr070"/>
    <m/>
    <s v="In Progress"/>
    <x v="2"/>
    <m/>
    <m/>
  </r>
  <r>
    <x v="22"/>
    <s v="trade_na_src_eximar"/>
    <m/>
    <s v="In Progress"/>
    <x v="2"/>
    <m/>
    <m/>
  </r>
  <r>
    <x v="23"/>
    <s v="fxb_midrate_kbank"/>
    <m/>
    <s v="In Progress"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cardlink"/>
    <s v="persist_cardlink.cardlink_kb1dh005_kbbcrd"/>
    <x v="0"/>
    <s v="Not Start"/>
    <m/>
    <s v="[27-Mar] source 74| raw 71"/>
    <m/>
    <x v="0"/>
    <s v="source"/>
    <x v="0"/>
  </r>
  <r>
    <s v="cardlink"/>
    <s v="persist_cardlink.cardlink_kb1dh003_cpbcus"/>
    <x v="0"/>
    <s v="Not Start"/>
    <m/>
    <s v="[27-Mar] source 113| raw 111"/>
    <m/>
    <x v="0"/>
    <s v="source"/>
    <x v="0"/>
  </r>
  <r>
    <s v="cardlink"/>
    <s v="persist_cardlink.cardlink_kb1dh006_kbbcus"/>
    <x v="0"/>
    <s v="Not Start"/>
    <m/>
    <s v="[27-Mar] source 35| raw 28"/>
    <m/>
    <x v="0"/>
    <s v="source"/>
    <x v="0"/>
  </r>
  <r>
    <s v="pcb_loan"/>
    <s v="persist_pcb_loan.pcb_loan_common_product_type"/>
    <x v="1"/>
    <s v="Not Start"/>
    <m/>
    <s v="[27-Mar] Framework need enhancement on header or tailor record has column more than body record"/>
    <m/>
    <x v="1"/>
    <s v="Framework need enhances"/>
    <x v="1"/>
  </r>
  <r>
    <s v="cardlink"/>
    <s v="persist_cardlink.cardlink_kb1dh007_cpahf"/>
    <x v="0"/>
    <s v="Not Start"/>
    <m/>
    <s v="[27-Mar] source 21 | raw 20"/>
    <m/>
    <x v="0"/>
    <s v="source"/>
    <x v="0"/>
  </r>
  <r>
    <s v="cardlink"/>
    <s v="persist_cardlink.cardlink_kb1dh017_cpamt"/>
    <x v="1"/>
    <s v="Not Start"/>
    <d v="2024-03-27T00:00:00"/>
    <s v="[28-Mar] TS08: Mandatory null_x000a_ ['dh017_cmt_card_nmbr']_x000a__x000a_[27-Mar] UnicodeDecodeError_x000a_[28-Mar M] Implement Encoding to job config for ANSI_x000a_[28-Mar Tee] Ingestion success"/>
    <m/>
    <x v="2"/>
    <s v="source"/>
    <x v="2"/>
  </r>
  <r>
    <s v="dgtl_fctrng"/>
    <s v="persist_dgtl_fctrng.dgtl_fctrng_v_company"/>
    <x v="2"/>
    <s v="Not Start"/>
    <d v="2024-03-21T00:00:00"/>
    <s v="Mismatch data layout_x000a_- Data source 85 | CBR EBAN 65| KBMF 78 (field in KBMF mostly not match with data source)_x000a_&gt;&gt; agreed to align with EBAN CBR 65 fields (diff 20 fields)_x000a__x000a_Data source schema mismatches with the target table, missing the columns (data file not have): shortname, regaddr1, regaddr2, regaddr3, regzip, contactaddr1, contactaddr2, contactaddr3, contactzip, taxaddr1, taxaddr2, taxaddr3, taxzip, tel, fax, email, website, officer1, telo1, officer2, telo2, taxid, regid, regdate, regcap, paidcap, mbankcode, mbankname, mbranchcode, mbranchname, macctno, macctname, bankcode, bankname, branchcode, branchname, acctno, acctname, rbankcode, rbankname, rbranchcode, rbranchname, racctno, racctname, product, marketing, controllimit, agrno, agrdate, admissionfee, interestcode, interestspread, minfee, penalty, penaltyrate, repaymentday, recourse"/>
    <s v="[28-Mar] EBAN team to recheck CBR file (เนื่องจาก column ต่างกันเยอะเกินไป)_x000a_[28-Mar] _x000a_Updated CBR MDP to align with CBR EBAN = 65_x000a_Pending to confirm_x000a_1. อิงตาม CBR ไม่มี date format ให้อ้างอิง =&gt; สามารถอิงจาก datafile ได้ไหม_x000a_2. มี field ใน CBR - 2 field อยู่รวมกันเช่น ApproveDate ApproveTime =&gt;  ถ้าแยกคอลัมน์จะไม่ทราบ datasize/datatype สามารถอิงจาก datafile ได้ไหม_x000a__x000a_[22-Mar]  EBAN team confirmed to align table structure by CBR EBAN 65 fields (diff with data 20 fields)"/>
    <x v="0"/>
    <s v="source"/>
    <x v="0"/>
  </r>
  <r>
    <s v="cardlink"/>
    <s v="persist_cardlink.cardlink_kb1dh031_cc1d583b"/>
    <x v="1"/>
    <s v="Not Start"/>
    <m/>
    <s v="[27-Mar] Source is fixed length file. Config is set to be delimited"/>
    <s v="delimited"/>
    <x v="3"/>
    <s v="[1-April] _x000a_CBR"/>
    <x v="3"/>
  </r>
  <r>
    <s v="dgtl_fctrng"/>
    <s v="persist_dgtl_fctrng.dgtl_fctrng_fact_acct"/>
    <x v="1"/>
    <s v="Not Start"/>
    <d v="2019-04-25T00:00:00"/>
    <s v="[26 Mar] _x000a_TS08 Mandatory null_x000a_['last_int_pymt_dt', 'last_pnp_pymt_dt', 'nxt_int_pymt_dt']_x000a__x000a_[Fixed] INGT_SIT_0062: A column or function parameter with name `dpd-prin` cannot be resolved"/>
    <m/>
    <x v="4"/>
    <s v="source"/>
    <x v="2"/>
  </r>
  <r>
    <s v="cardlink"/>
    <s v="persist_cardlink.cardlink_kb1dh011_cc1d2027"/>
    <x v="0"/>
    <s v="Not Start"/>
    <m/>
    <s v="[27-Mar] Fixed length mapping is not correct, _x000a_ref - INGT_SIT_0073_x000a_https://kasikornbankgroup.sharepoint.com/:x:/s/DocumentRepository/Data%20-%20Analytics/EVNQm3Jxo0xBlN_XYjolql0Bsq4FIiqlOg11xdBTKDqPqQ?e=BCxCeG"/>
    <s v="offset"/>
    <x v="5"/>
    <s v="[1-April] _x000a_CBR"/>
    <x v="0"/>
  </r>
  <r>
    <s v="fxb"/>
    <s v="persist_fxb.fxb_midrate_kbank"/>
    <x v="0"/>
    <s v="Not Start"/>
    <s v="2024-03-13_x000a_2024-03-14"/>
    <s v="[29-Mar Tee] Rerun job success with PKs and remove upd_tms from raw_x000a_[28 Mar -M] - Fixed config update PK List to Job config_x000a__x000a_[27Mar] incremental file failed with no primary key_x000a__x000a_[26 Mar]_x000a_rerun with incremental = initial _x000a_error Control File Record Count 232 is not equal to spark dataframe record count 229_x000a_[25 Mar - warm] - to rerun wiht incremental = initial ( also lpm_as400)_x000a_DependencyCheckError: Failed dependency checking: The job is not ready due to failures in prerequisite jobs.  ingest_fxb_midrate_kbank_d - 2024-03-12_x000a__x000a_(Delta) Initial file 232 records_x000a_"/>
    <s v="[1 April] _x000a_Due to the columns 'record_type', 'filler_1', 'filler_2' will stored and present only in raw_x000a_Test result : TS03 will be failed_x000a__x000a_[27 Mar] source confirmed to Updated primary key fields &quot;underlying currency&quot;, &quot;base currency&quot;"/>
    <x v="6"/>
    <s v="[1 April] pending test"/>
    <x v="2"/>
  </r>
  <r>
    <s v="gts"/>
    <s v="persist_gts.gts_dbttnrel"/>
    <x v="1"/>
    <s v="Not Start"/>
    <s v="2024-03-20"/>
    <s v="Empty file"/>
    <m/>
    <x v="7"/>
    <s v="source"/>
    <x v="2"/>
  </r>
  <r>
    <s v="gts"/>
    <s v="persist_gts.gts_kbgt_limit_allocated"/>
    <x v="1"/>
    <s v="Not Start"/>
    <m/>
    <s v="Mismatch data layout with spec (data file incorrect sequence)_x000a_- data file no header_x000a_- column seq 21 = updated_date"/>
    <s v="[1-Apr] EBAN team provided new KBMF =&gt; Update CBR as new KBMF_x000a_[28-Mar] Pending EBAN Team to update new CBR_x000a_check ใน CBR EBAN seq21 = issue_date, seq22 = update_date"/>
    <x v="0"/>
    <s v="[1-Apr] Pending deploy"/>
    <x v="4"/>
  </r>
  <r>
    <s v="kplus"/>
    <s v="persist_kplus.kplus_jmobileactlog_log"/>
    <x v="3"/>
    <s v="Not Start"/>
    <m/>
    <s v="Mismatch data layout_x000a_- Data source 31| CBR EBAN(Ref) 26| KBMF 26_x000a_[29-Mar] EBAN confirmed to use CBR_V_MB_ACTN_LOG_v.1.8.xlsx (Tab: Request Field source 509) and added 5 additional field by using full column name from KBMF EBAN IN_x000a__x000a_Src column name _x000a_LogID|TranDateTime|TranDesc|MobileNo|MobileOperator|CurrentAccountNo|SavingAccountNo|CardNoEncrypt|CardType|Language|OTP|PIN|UpgradeFlag|ThirdFundTransferFlag|ProductCode|Channel|Location|UserName|ResponseCode|Remark|UpdateType|OldUpdateValue|NewUpdateValue|IPAddress|Latitude|Longitude|AdditionalData1|AdditionalData2|AdditionalData3|AdditionalData4|AdditionalData5_x000a__x000a_ValueError: Data source schema mismatches with the target table, missing the columns: cardno"/>
    <s v="[29-Mar Saranchai S.] Completed Revise CBR_x000a__x000a_[29-Mar] EBAN confirmed to use CBR_V_MB_ACTN_LOG_v.1.8.xlsx (Tab: Request Field source 509)_x000a__x000a_[28-Mar Saranchai S.]_x000a_Revise CBR: add column AdditionalData1,AdditionalData2,AdditionalData3,AdditionalData4,AdditionalData5"/>
    <x v="0"/>
    <s v="[1-April]  Pending test"/>
    <x v="4"/>
  </r>
  <r>
    <s v="gts"/>
    <s v="persist_gts.gts_kbgt_loan_outstanding"/>
    <x v="1"/>
    <s v="Not Start"/>
    <d v="2024-03-27T00:00:00"/>
    <s v="TS08: Mandatory null_x000a_ ['maturity_date', 'due_date', 'center_code', 'nxt_int_pymt_dt', 'ppymt_f']_x000a__x000a_Mismatch data layout (data file no header)_x000a_Data source 159 /KBMF 159/CBR EBAN 157_x000a_Update CBR MDP to Align with KBMF"/>
    <s v="[28-Mar] Updated CBR to align with new KBMF from EBAN team 159 fields"/>
    <x v="0"/>
    <s v="source"/>
    <x v="2"/>
  </r>
  <r>
    <s v="ks"/>
    <s v="persist_ks.ks_fundportfolio"/>
    <x v="1"/>
    <s v="Ready to execute"/>
    <d v="2023-12-08T00:00:00"/>
    <s v="[29-Mar]_x000a_TS04: column name change src_pos_dt"/>
    <s v="Due to the column name change from as_of_dt to src_pos_dt_x000a_Test result : TS04 will be failed"/>
    <x v="0"/>
    <m/>
    <x v="5"/>
  </r>
  <r>
    <s v="mx"/>
    <s v="persist_mx.mx_src_murx_deal_ar"/>
    <x v="1"/>
    <s v="Not Start"/>
    <d v="2024-02-29T00:00:00"/>
    <s v="[29-Mar Warm last message] _x000a_TS04_x000a_Error column name posn_dt -&gt; src_pos_dt_x000a_TS11_x000a_Change logic to convert persist decimal to double -&gt; error_x000a_TS12 _x000a_persist re-ingest date field still 1400_x000a__x000a__x000a__x000a_Source 125/ spec 42 (data file no header)_x000a_- incorrect CBR spec provided"/>
    <s v="[28-Mar] Updated date format (yyyyMMdd) to be aligned with data file_x000a_[22-Mar] Update CBE Foundateion (Reference : CBR_VP_CMB_DEAL_AR_DTL_MO_v0.1)_x000a_Aligned with source  and CBR EBAN 125 Fields"/>
    <x v="0"/>
    <s v="[29-Mar]  Pending test"/>
    <x v="6"/>
  </r>
  <r>
    <s v="pcb_dep"/>
    <s v="persist_pcb_dep.pcb_dep_extrate1"/>
    <x v="1"/>
    <s v="Ready to execute"/>
    <s v="2024-03-27"/>
    <s v="[27-Mar] ValueError: invalid literal for int() with base 10: 'FZ0001'_x000a__x000a_File has no header and footer record, but config set header and footer"/>
    <s v="[28 Mar] EBAN team confirmed to remove header, tailor label"/>
    <x v="8"/>
    <m/>
    <x v="5"/>
  </r>
  <r>
    <s v="pcb_dep"/>
    <s v="persist_pcb_dep.pcb_dep_deptxn_db"/>
    <x v="3"/>
    <s v="Ready to execute"/>
    <s v="2024-03-19"/>
    <s v="TS12 _x000a_All week-based patterns are unsupported since Spark 3.0, detected: e, Please use the SQL function EXTRACT instead "/>
    <s v="[28-Mar] Updated CBR as per new version of CBR EBAN (Fixed Timestamp datasize) and EBAN confirmed timestamp format as 2024-03-24 00:00:00.0_x000a_[25-Mar] EBAN confirmed Update Datatype : ORIG_SRC_STM_ID smallint to int"/>
    <x v="5"/>
    <m/>
    <x v="5"/>
  </r>
  <r>
    <s v="scf"/>
    <s v="persist_scf.scf_customer"/>
    <x v="2"/>
    <s v="Ready to execute"/>
    <s v="2024-03-26"/>
    <s v="[28-Mar Tee] _x000a_Source columns: 63_x000a_raw DDL columns: 60_x000a_- ['strcustaxid', 'strkbankaut', 'strcustype']_x000a__x000a_-----------------------------------------------------------------------_x000a__x000a_Mismatch data layout_x000a_- Data source 63 |CBR EBAN 60 | KBMF (spec) 50 _x000a_decfeeamt, decbalfeeamt, strlastfeedate, strpersoncont, strvostrocode, strmappingglno, strrmcode, strrmname, strsegment, strspokeid, strcustaxid, strkbankaut, strcustype_x000a__x000a_TS04 Failed_x000a_TS05 Failed_x000a_TS12 Failed _x000a_INGT_SIT_0063 : field ซ้ำ "/>
    <s v="[28-Mar Saranchai S.] Completed Revise CBR_x000a__x000a_[26-Mar] EBAN Team agreed to align table structure by CBR EBAN (diff with data 3 fields)"/>
    <x v="0"/>
    <m/>
    <x v="5"/>
  </r>
  <r>
    <s v="scf"/>
    <s v="persist_scf.scf_vw_trading_acct"/>
    <x v="2"/>
    <s v="Ready to execute"/>
    <m/>
    <s v="[27-Mar] Diff 3 fields from datafile (stroverdrawflg, strflagtype, strbankcode)_x000a__x000a_Mismatch data layout_x000a_- Data source 18 / raw 15 / persist 15_x000a_- CBR 15, KBMF 15 (CBR and KBMF are the same)"/>
    <s v="[28-Mar] EBAN Team confirmed to align table structure by CBR EBAN (diff with data 3 fields)_x000a__x000a_Use same KBMF (KBMF-(460)-SCM_TRADING_ACCT)"/>
    <x v="0"/>
    <m/>
    <x v="5"/>
  </r>
  <r>
    <s v="kplus"/>
    <s v="persist_kplus.kplus_view_jmobileacctcard_log"/>
    <x v="3"/>
    <s v="Not Start"/>
    <d v="2024-03-12T00:00:00"/>
    <s v="TS08: Mandatory null_x000a_ ['relateacctcard', 'mobileno']"/>
    <m/>
    <x v="9"/>
    <s v="source"/>
    <x v="2"/>
  </r>
  <r>
    <s v="ud"/>
    <s v="persist_ud.ud_vw_t_su_sub_uh_ful"/>
    <x v="2"/>
    <s v="Not Start"/>
    <d v="2024-03-28T00:00:00"/>
    <s v="missing the columns: src_pos_dt"/>
    <s v="[29-Mar] CBR + Iinit + spec mapping (Fixed) : Updated date, timestamp format yyyy-MM-dd HH:mm:ss and yyyy-MM-dd HH:mm:ss.SSSSSS to be aligned with source data file and change to timestamp for all date in target table"/>
    <x v="5"/>
    <s v="[1-April]  Pending test"/>
    <x v="7"/>
  </r>
  <r>
    <s v="ud"/>
    <s v="persist_ud.ud_vw_kgroup_sidetexttbl"/>
    <x v="2"/>
    <s v="Not Start"/>
    <d v="2024-03-28T00:00:00"/>
    <s v="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5"/>
    <s v="[1-April]  Pending test"/>
    <x v="7"/>
  </r>
  <r>
    <s v="ud"/>
    <s v="persist_ud.ud_vw_fi_fnd_inf_ful"/>
    <x v="2"/>
    <s v="Not Start"/>
    <d v="2024-03-28T00:00:00"/>
    <s v="[29-Mar Tee] Detecting extra columns ['min_bal_amount'] in source dataframe compared to target database mdpuat.raw_ud.ud_vw_fi_fnd_inf_ful_x000a_Data source 64 | CBR 63 |KBMF 64 |_x000a_Diff 1 fields (&lt;min_bal_amount&gt;)_x000a__x000a_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5"/>
    <s v="[1-April] _x000a_CBR"/>
    <x v="0"/>
  </r>
  <r>
    <s v="ud"/>
    <s v="persist_ud.ud_vw_t_uh_uh_ful"/>
    <x v="2"/>
    <s v="Not Start"/>
    <d v="2024-03-28T00:00:00"/>
    <s v="[25-Mar] INCONSISTENT_BEHAVIOR_CROSS_VERSION.PARSE_DATETIME_BY_NEW_PARSER"/>
    <s v="[29-Mar] CBR + Iinit + spec mapping (Fixed) : Updated date, timestamp format yyyy-MM-dd HH:mm:ss and yyyy-MM-dd HH:mm:ss.SSSSSS to be aligned with source data file and change to timestamp for all date in target table"/>
    <x v="5"/>
    <s v="[1-April]  Pending test"/>
    <x v="7"/>
  </r>
  <r>
    <s v="kplus"/>
    <s v="persist_kplus.kplus_actlog_qlocal"/>
    <x v="3"/>
    <s v="Not Start"/>
    <m/>
    <s v="Mismatch data layout_x000a_- Data source 31| CBR EBAN(Ref) 26| KBMF 26 _x000a__x000a_Mismatch data layout src 31/ raw 26/ persist 26_x000a_Src column name _x000a_LogID|TranDateTime|TranDesc|MobileNo|MobileOperator|CurrentAccountNo|SavingAccountNo|CardNoEncrypt|CardType|Language|OTP|PIN|UpgradeFlag|ThirdFundTransferFlag|ProductCode|Channel|Location|UserName|ResponseCode|Remark|UpdateType|OldUpdateValue|NewUpdateValue|IPAddress|Latitude|Longitude|AdditionalData1|AdditionalData2|AdditionalData3|AdditionalData4|AdditionalData5_x000a__x000a_TS08: Mandatory null_x000a_['logid']_x000a__x000a_ValueError: Data source schema mismatches with the target table, missing the columns: cardno"/>
    <s v="[28-Mar Saranchai S.] Pending P' Jo to confirm CBR reference_x000a_Revise CBR: add column AdditionalData1,AdditionalData2,AdditionalData3,AdditionalData4,AdditionalData5"/>
    <x v="10"/>
    <s v="source"/>
    <x v="0"/>
  </r>
  <r>
    <s v="scf"/>
    <s v="persist_scf.scf_trading"/>
    <x v="2"/>
    <s v="Not Start"/>
    <s v="2024-03-20"/>
    <s v="Mismatch data layout_x000a_- Data source 73 / CBR spec 66 / KBMF 73_x000a_- To update CBR MDP to be aligned with KBMF 73"/>
    <s v="[29-Mar] Updated CBR as new KBMF from EBAN (KBMF-(460)-SCM_TRADING (1))"/>
    <x v="0"/>
    <s v="[29-Mar]  Pending test"/>
    <x v="6"/>
  </r>
  <r>
    <s v="pcb_dep"/>
    <s v="persist_pcb_dep.pcb_dep_cb2d0005_odencitd_sam"/>
    <x v="4"/>
    <s v="Ready to execute"/>
    <s v="2024-03-26"/>
    <s v="[27-Mar] extra column 'filler' from fixed length mapping_x000a_[28-Mar] To add filler in init raw"/>
    <m/>
    <x v="8"/>
    <m/>
    <x v="5"/>
  </r>
  <r>
    <s v="cardlink"/>
    <s v="persist_cardlink.cardlink_kb1dh002_cpbcrd"/>
    <x v="0"/>
    <s v="Not Start"/>
    <m/>
    <s v="[29-Mar] source 465| raw 466_x000a_Data source xx | CBR xx |KBMF xx |_x000a__x000a_[Fixed] 2 hours processed, needs upsize also"/>
    <m/>
    <x v="0"/>
    <s v="[1-April] _x000a_CBR"/>
    <x v="0"/>
  </r>
  <r>
    <s v="ud"/>
    <s v="persist_ud.ud_vw_flt_div_pmt_inc"/>
    <x v="2"/>
    <s v="Not Start"/>
    <d v="2024-03-28T00:00:00"/>
    <s v="[28-Mar Tee] Schema is already correct, format in ingest spec is not correct yet._x000a_Ex. of Date data: 2024-03-19 00:00:00, Timestamp data: 2024-03-15 01:12:55.605384"/>
    <s v="[29-Mar] CBR + Iinit + spec mapping (Fixed) : Updated date, timestamp format yyyy-MM-dd HH:mm:ss and yyyy-MM-dd HH:mm:ss.SSSSSS to be aligned with source data file and change to timestamp for all date in target table_x000a_Update MDP CBR align from KBMF_x000a_data xx/ KBMF 32 / CBR 32 (sequence is different between CBR and KBMF)_x000a_[27-Mar] Update CBR to align with KBMF source and fixed init, spec"/>
    <x v="0"/>
    <s v="[1-April]  Pending test"/>
    <x v="7"/>
  </r>
  <r>
    <s v="cardlink"/>
    <s v="persist_cardlink.cardlink_kb1dh019_cc1t377"/>
    <x v="1"/>
    <s v="Not Start"/>
    <m/>
    <s v="[28-Mar] Missing mandatory field in cbr_x000a_[27-Mar] Done"/>
    <s v="Mandatory = O_x000a_btw to check CBR EBAN (source)"/>
    <x v="11"/>
    <s v="[1-April] _x000a_CBR"/>
    <x v="0"/>
  </r>
  <r>
    <s v="cardlink"/>
    <s v="persist_cardlink.cardlink_kb1dh038_cc1d5012"/>
    <x v="1"/>
    <s v="Not Start"/>
    <m/>
    <s v="[28-Mar] Missing mandatory field in cbr_x000a_[27-Mar] Done"/>
    <s v="Mandatory = O_x000a_btw to check CBR EBAN (source)"/>
    <x v="11"/>
    <s v="[1-April] _x000a_CBR"/>
    <x v="0"/>
  </r>
  <r>
    <s v="cardlink"/>
    <s v="persist_cardlink.cardlink_kb1dh013_eptrans"/>
    <x v="0"/>
    <s v="Not Start"/>
    <m/>
    <s v="[28-Mar Tee] invalid literal for int() with base 10: '53|' -&gt; fixed length mapping for footer is not correct - INGT_SIT_0076_x000a_Fixed length data, but delimiter at footer ?_x000a__x000a_[27-Mar] UnicodeDecodeError_x000a__x000a_[28-Mar M] Implement Encoding to job config for ANSI"/>
    <s v="Offset_x000a_btw to check CBR EBAN (source)"/>
    <x v="12"/>
    <s v="[1-April] _x000a_pending CBR revise_x000a_or fixed length mapping"/>
    <x v="3"/>
  </r>
  <r>
    <s v="ks"/>
    <s v="persist_ks.ks_custprofile"/>
    <x v="1"/>
    <s v="Not Start"/>
    <d v="2023-12-08T00:00:00"/>
    <s v="[29-Mar]_x000a_TS04: column name change src_pos_dt_x000a__x000a_TS:08 Mandatory null_x000a_['card_id']_x000a__x000a_[27-Mar] Source timestamp data sent milliseconds, but timestamp format is yyyy-MM-dd HH:mm:ss. Using  yyyy-MM-dd HH:mm:ss.SSSSSS instead_x000a_ref - INGT_SIT_0074_x000a_https://kasikornbankgroup.sharepoint.com/:x:/s/DocumentRepository/Data%20-%20Analytics/EVNQm3Jxo0xBlN_XYjolql0Bsq4FIiqlOg11xdBTKDqPqQ?e=BCxCeG"/>
    <s v="[28-Mar] EBAN confirmed to align date format with datafile yyyy-MM-dd HH:mm:ss.SSSSSS"/>
    <x v="5"/>
    <s v="source"/>
    <x v="2"/>
  </r>
  <r>
    <s v="cardlink"/>
    <s v="persist_cardlink.cardlink_kb1dh018_cpsrptt"/>
    <x v="1"/>
    <s v="Not Start"/>
    <m/>
    <s v="[1-Apr Tee] multiple encoding char for multiple files_x000a__x000a_[27-Mar] UnicodeDecodeError"/>
    <m/>
    <x v="12"/>
    <s v="UnicodeDecode"/>
    <x v="6"/>
  </r>
  <r>
    <s v="cardlink"/>
    <s v="persist_cardlink.cardlink_kb1dh014_cc1dmpgl"/>
    <x v="0"/>
    <s v="Not Start"/>
    <m/>
    <s v="[28-Mar Tee] fixed length mapping for footer is not correct - INGT_SIT_0077_x000a_Fixed length data, but delimiter at footer ?_x000a__x000a_[27-Mar] UnicodeDecodeError_x000a__x000a_[28-Mar M] Implement Encoding to job config for ANSI"/>
    <m/>
    <x v="12"/>
    <s v="[1-April] _x000a_pending CBR revise_x000a_or fixed length mapping"/>
    <x v="3"/>
  </r>
  <r>
    <s v="scf"/>
    <s v="persist_scf.scf_vw_sct_book_loan"/>
    <x v="2"/>
    <s v="Not Start"/>
    <m/>
    <s v="[29-Mar] incorrect date format in cbr ['dtecreatedate', 'dteupddate'] =&gt; Pending EBAN to confirm on date format_x000a_dtecreatedate from yyyy-MM-dd HH:mm:ss.sss -&gt; yyyy-MM-dd HH:mm:ss.SSSSSS_x000a_dteupddate inconsistent date format -  yyyy-MM-dd HH:mm:ss.SSSSSS,  yyyy-MM-dd HH:mm:ss =&gt; To align with data file_x000a__x000a__x000a_[28-Mar Tee] Ingestion Success_x000a__x000a_Mismatch data layout_x000a_- Data source 96 / CBR spec 66 / KBMF 56 "/>
    <s v="[1-Apr] EBAN team confirmed to use_x000a_- 'dteupdate', 'dtecreatedate' = yyyy-MM-dd HH:mm:ss.SSSSSS_x000a_[29Mar] _x000a_'dteupddate' data ส่งมา 2 format มีทั้ง yyyy-MM-dd HH:mm:ss และ yyyy-MM-dd HH:mm:ss.SSSSSS_x000a_จาก spec จะเป็น format yyyy-MM-dd HH:mm:ss.SSS _x000a__x000a_[28-Mar Saranchai S.] Completed Revise 96 fields_x000a__x000a_"/>
    <x v="0"/>
    <s v="pending CBR revise_x000a_spec mapping"/>
    <x v="0"/>
  </r>
  <r>
    <s v="lec"/>
    <s v="persist_lec.lec_lecp_lec3d18"/>
    <x v="1"/>
    <s v="Ready to execute"/>
    <d v="2020-03-20T00:00:00"/>
    <s v="[28-Mar Tee] ingestion success_x000a__x000a_-fw log control file count = None_x000a_-CBR have filler column_x000a_-Data no filler_x000a_-Raw no filler column_x000a_[28-Mar - M] Updated fixed_length_mapping "/>
    <m/>
    <x v="3"/>
    <m/>
    <x v="5"/>
  </r>
  <r>
    <s v="ud"/>
    <s v="persist_ud.ud_ka_fundcode"/>
    <x v="1"/>
    <s v="Not Start"/>
    <d v="2024-03-28T00:00:00"/>
    <s v="[28-Mar Tee] raw DDL column name should be same as source column name when source header column flag is &quot;Y&quot;, ingestion spec also; =&gt; Pending to confirm with source (rectype and rcrd_tp)_x000a__x000a_[27-Mar] Extraction config and ingestion config are not correct. Date is specified in filename. Should be KA_FundCode_YYYYMMDD.txt_x000a__x000a_[29-Mar M] Update diffrent filter columns (transform_to_raw_task) now "/>
    <m/>
    <x v="8"/>
    <s v="[1-April]  Pending test"/>
    <x v="7"/>
  </r>
  <r>
    <s v="ud"/>
    <s v="persist_ud.ud_privatefund_balance"/>
    <x v="1"/>
    <s v="Not Start"/>
    <d v="2024-03-28T00:00:00"/>
    <s v="[28-Mar Tee] Data file does not have header column flag, but header is specified =&gt; CBR Fixed_x000a__x000a_[27-Mar] Extraction config and ingestion config are not correct. Date is specified in filename. Should be PrivateFund_Balance_YYYYMMDD.txt_x000a__x000a_[28-Mar] Update file name both extraction config , job config_x000a__x000a_[29-Mar M] Update columns name flag to False (N)"/>
    <m/>
    <x v="8"/>
    <s v="[1-April]  Pending test"/>
    <x v="7"/>
  </r>
  <r>
    <s v="cardlink"/>
    <s v="persist_cardlink.cardlink_kb1dh037_cpccpf_p"/>
    <x v="1"/>
    <s v="Not Start"/>
    <m/>
    <s v="File does not exist for transferred"/>
    <m/>
    <x v="7"/>
    <s v="Empty file"/>
    <x v="2"/>
  </r>
  <r>
    <s v="cardlink"/>
    <s v="persist_cardlink.cardlink_kb1dh001_cp1t170_01"/>
    <x v="0"/>
    <s v="Not Start"/>
    <m/>
    <s v="Changed to KAS layout"/>
    <m/>
    <x v="13"/>
    <s v="KAS layout"/>
    <x v="5"/>
  </r>
  <r>
    <s v="cardlink"/>
    <s v="persist_cardlink.cardlink_kb1dh032_addtype"/>
    <x v="0"/>
    <s v="Not Start"/>
    <m/>
    <s v="Changed to KAS layout"/>
    <m/>
    <x v="13"/>
    <s v="KAS layout"/>
    <x v="5"/>
  </r>
  <r>
    <s v="cardlink"/>
    <s v="persist_cardlink.cardlink_la10s_oatkn"/>
    <x v="1"/>
    <s v="Not Start"/>
    <m/>
    <s v="Changed to KAS layout"/>
    <m/>
    <x v="13"/>
    <s v="KAS layout"/>
    <x v="5"/>
  </r>
  <r>
    <s v="cardlink"/>
    <s v="persist_cardlink.cardlink_kb1dh037_cptcpf_p"/>
    <x v="1"/>
    <s v="Not Start"/>
    <m/>
    <s v="File does not exist for transferred"/>
    <m/>
    <x v="7"/>
    <s v="Empty file"/>
    <x v="2"/>
  </r>
  <r>
    <s v="cardlink"/>
    <s v="persist_cardlink.cardlink_kb1dh045_cc1d289g"/>
    <x v="1"/>
    <s v="Not Start"/>
    <m/>
    <s v="[29-Mar] CBR does not have mandatory flag_x000a__x000a_[28-Mar Tee] ingestion success but pending upsize cluster_x000a_[27-Mar] Control-M set wrong job config path"/>
    <s v="Mandatory = O_x000a_btw to check CBR EBAN (source)"/>
    <x v="14"/>
    <s v="[1-April] _x000a_CBR"/>
    <x v="0"/>
  </r>
  <r>
    <s v="cardlink"/>
    <s v="persist_cardlink.cardlink_kb1dh028_ccixpt"/>
    <x v="1"/>
    <s v="Not Start"/>
    <m/>
    <s v="Changed to KAS layout"/>
    <m/>
    <x v="13"/>
    <s v="KAS layout"/>
    <x v="5"/>
  </r>
  <r>
    <s v="cardlink"/>
    <s v="persist_cardlink.cardlink_kb1dh029_ccatabla"/>
    <x v="1"/>
    <s v="Not Start"/>
    <m/>
    <s v="Changed to KAS layout"/>
    <m/>
    <x v="13"/>
    <s v="KAS layout"/>
    <x v="5"/>
  </r>
  <r>
    <s v="cardlink"/>
    <s v="persist_cardlink.cardlink_kb1dh030_cuptran"/>
    <x v="1"/>
    <s v="Not Start"/>
    <m/>
    <s v="Changed to KAS layout"/>
    <m/>
    <x v="13"/>
    <s v="KAS layout"/>
    <x v="5"/>
  </r>
  <r>
    <s v="cardlink"/>
    <s v="persist_cardlink.cardlink_kb1dh012_cpcah"/>
    <x v="1"/>
    <s v="Not Start"/>
    <m/>
    <s v="Changed to KAS layout"/>
    <m/>
    <x v="13"/>
    <s v="KAS layout"/>
    <x v="5"/>
  </r>
  <r>
    <s v="cardlink"/>
    <s v="persist_cardlink.cardlink_kb1dh020_cc1d582d"/>
    <x v="1"/>
    <s v="Not Start"/>
    <m/>
    <s v="Changed to KAS layout"/>
    <m/>
    <x v="13"/>
    <s v="KAS layout"/>
    <x v="5"/>
  </r>
  <r>
    <s v="cardlink"/>
    <s v="persist_cardlink.cardlink_kb1dh021_cc1d582s"/>
    <x v="1"/>
    <s v="Not Start"/>
    <m/>
    <s v="Changed to KAS layout"/>
    <m/>
    <x v="13"/>
    <s v="KAS layout"/>
    <x v="5"/>
  </r>
  <r>
    <s v="cardlink"/>
    <s v="persist_cardlink.cardlink_kb1dh022_oadcc32"/>
    <x v="1"/>
    <s v="Not Start"/>
    <m/>
    <s v="Changed to KAS layout"/>
    <m/>
    <x v="13"/>
    <s v="KAS layout"/>
    <x v="5"/>
  </r>
  <r>
    <s v="cardlink"/>
    <s v="persist_cardlink.cardlink_kb1dh024_cc1d560"/>
    <x v="1"/>
    <s v="Not Start"/>
    <m/>
    <s v="Changed to KAS layout"/>
    <m/>
    <x v="13"/>
    <s v="KAS layout"/>
    <x v="5"/>
  </r>
  <r>
    <s v="cardlink"/>
    <s v="persist_cardlink.cardlink_kb1dh025_cpcah"/>
    <x v="1"/>
    <s v="Not Start"/>
    <m/>
    <s v="[28-Mar Tee] Need upsize cluster again"/>
    <m/>
    <x v="15"/>
    <s v="pending new variable file"/>
    <x v="4"/>
  </r>
  <r>
    <s v="dgtl_fctrng"/>
    <s v="persist_dgtl_fctrng.dgtl_fctrng_v_clientdebtor"/>
    <x v="2"/>
    <s v="Not Start"/>
    <d v="2024-03-21T00:00:00"/>
    <s v="[27-Mar] Control file is correct, need to find way to read source"/>
    <m/>
    <x v="16"/>
    <s v="extraction config"/>
    <x v="4"/>
  </r>
  <r>
    <s v="gts"/>
    <s v="persist_gts.gts_kbgt_cont_outstanding"/>
    <x v="1"/>
    <s v="Ready to execute"/>
    <s v="2024-03-27"/>
    <s v="[29-Mar Tee] Detecting extra columns ['_c157', '_c158'] in source dataframe compared to target database mdpuat.raw_gts.gts_kbgt_cont_outstanding_x000a__x000a_[28-Mar Tee] orig_admn_rate is missing from ingestion spec =&gt; Fixed_x000a__x000a_Mismatch data layout (data file no header)_x000a_Data source 159 /CBR EBAN 157 / KBMF 163_x000a_&gt;&gt; check column EBAN prod (156) diff 'header3'"/>
    <s v="[25-Mar] EBAN team confirmed to align spec from CBR 157 fields ('header3' &gt;&gt; rec_type)"/>
    <x v="0"/>
    <m/>
    <x v="5"/>
  </r>
  <r>
    <s v="scf"/>
    <s v="persist_scf.scf_vw_cm_fee_structure"/>
    <x v="2"/>
    <s v="Ready to execute"/>
    <d v="2024-03-20T00:00:00"/>
    <s v="[28-Mar]_x000a_TS03, 04, 12 Failed_x000a__x000a_To Update CBR field INTPERIODDAYS =&gt; decimal(3,0) to smallint(3)_x000a_TBD Spec with EBAN_x000a_TS03: num col mismatch _x000a_- data source(47) / KBMF (37) / CBR EBAN (37)_x000a_['strstep', 'strchargefeedate', 'strremark', 'strfeecodebahtnet', 'decfeeamtsbahtnet', 'decfeeamtdbahtnet', 'strchargefeeforbahtnet', 'strfeetypebahtnet', 'strefftdatebahtnet', 'stractiveflagbahtnet'] _x000a_TS04: col name mismatch"/>
    <s v="[27-Mar] KBMF source and CBR EBAN are in the same layout_x000a__x000a_[21-Mar] EBAN Team agreed to align table structure by CBR EBAN (diff with data 10 fields)"/>
    <x v="0"/>
    <m/>
    <x v="5"/>
  </r>
  <r>
    <s v="ud"/>
    <s v="persist_ud.ud_vw_transactionext"/>
    <x v="2"/>
    <s v="Not Start"/>
    <d v="2024-03-28T00:00:00"/>
    <s v="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5"/>
    <s v="[1-April]  Pending test"/>
    <x v="7"/>
  </r>
  <r>
    <s v="ud"/>
    <s v="persist_ud.ud_vw_transactioneodext"/>
    <x v="2"/>
    <s v="Not Start"/>
    <d v="2024-03-28T00:00:00"/>
    <s v="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5"/>
    <s v="[1-April]  Pending test"/>
    <x v="7"/>
  </r>
  <r>
    <s v="cardlink"/>
    <s v="persist_cardlink.cardlink_kb1dh023_lbpttrn"/>
    <x v="1"/>
    <s v="Ready to execute"/>
    <m/>
    <s v="[27-Mar] Done"/>
    <m/>
    <x v="8"/>
    <m/>
    <x v="5"/>
  </r>
  <r>
    <s v="cardlink"/>
    <s v="persist_cardlink.cardlink_kb1dh039_ccnd5012"/>
    <x v="1"/>
    <s v="Not Start"/>
    <m/>
    <s v="[28-Mar] incorrect CBR column name _x000a_dh039_trans_dest_amt and dh039_retrvl_ref_nbr are in the same cell for both source and target_x000a__x000a_[27-Mar] Done"/>
    <m/>
    <x v="0"/>
    <s v="[1-April] _x000a_CBR"/>
    <x v="0"/>
  </r>
  <r>
    <s v="cardlink"/>
    <s v="persist_cardlink.cardlink_lb1dh002_lbcrd"/>
    <x v="0"/>
    <s v="Not Start"/>
    <s v="2024-03-26"/>
    <s v="[28-Mar] Missing mandatory field in cbr_x000a__x000a_[27-Mar] Done "/>
    <s v="Mandatory = O_x000a_btw to check CBR EBAN (source)"/>
    <x v="0"/>
    <s v="[1-April] _x000a_CBR"/>
    <x v="0"/>
  </r>
  <r>
    <s v="ks"/>
    <s v="persist_ks.ks_fundmaster"/>
    <x v="1"/>
    <s v="Passed"/>
    <d v="2023-12-08T00:00:00"/>
    <s v="[29-Mar]_x000a_TS04: column name change src_pos_dt"/>
    <s v="Due to the column name change from as_of_dt to src_pos_dt_x000a_Test result : TS04 will be failed"/>
    <x v="0"/>
    <m/>
    <x v="5"/>
  </r>
  <r>
    <s v="trade_na"/>
    <s v="persist_trade_na.trade_na_lcr070"/>
    <x v="1"/>
    <s v="Not Start"/>
    <m/>
    <s v="[28-Mar] data in date column is not correct as format =&gt; Pending source to confirm date data_x000a__x000a_[26-Mar]_x000a_Mandatory null_x000a_ ['lcacno', 'lclsrt', 'lcddte', 'lcinfg', 'lccndt', 'lcrvdt', 'lcspty', 'lcrspd']_x000a__x000a_CBR  incorrect date format - ['lcvdte','lcddte']_x000a_Spec - yyyyMMdd_x000a_data file - yyMMdd_x000a__x000a_TS12 unknown date format - ['lccndt', 'lcrvdt'] =&gt; Pending source to confirm date data_x000a_Source send all null, suspect that it might be wrong format as the above 2 field"/>
    <s v="[28-Mar] Updated date format  ['lcvdte','lcddte'] yyMMdd to be as data file =&gt; Fixed_x000a_[25-Mar] Update source datasize number (added precision) =&gt; Fixed"/>
    <x v="17"/>
    <s v="source"/>
    <x v="0"/>
  </r>
  <r>
    <s v="pcb_loan"/>
    <s v="persist_pcb_loan.pcb_loan_common_account_info"/>
    <x v="1"/>
    <s v="Not Start"/>
    <s v="2024-03-20"/>
    <s v="[28-Mar] TS08: Mandatory null_x000a_['coa_rspl_cntr_pnp', 'coa_fnc_pnp', 'ac_adr1', 'tfr_br', 'resch_flg', 'ren_code']_x000a__x000a_[27-Mar] Ingestion success_x000a__x000a_1. Mismatch data layout (no header column)_x000a_- Data source 162/ CBR EBAN Spec 161 / KBMF 162_x000a__x000a_2. Mandatory null _x000a_['coa_rspl_cntr_pnp', 'coa_fnc_pnp', 'ac_adr1', 'tfr_br', 'resch_flg', 'ren_code']_x000a__x000a_[27-Mar] Ingestion success"/>
    <s v="[27-Mar] Updated CBR to align with KBMF source and fixed init raw_x000a__x000a_[26-Mar] Align with KBMF source (added filler to the last column)"/>
    <x v="18"/>
    <s v="pending re-order for Thai encode"/>
    <x v="5"/>
  </r>
  <r>
    <s v="kplus"/>
    <s v="persist_kplus.kplus_view_jmobile_log"/>
    <x v="3"/>
    <s v="Ready to execute"/>
    <s v="2024-03-25"/>
    <s v="TS04: source send col name with encrypt_x000a_TS05: tinyint -&gt; tinyint?_x000a__x000a_ValueError: Data source schema mismatches with the target table, missing the columns: registeredcardno_x000a__x000a_[28-Mar] Rerun success"/>
    <s v="[28-Mar] _x000a_Revised datatype from tinyint to smallint in Target table"/>
    <x v="8"/>
    <m/>
    <x v="5"/>
  </r>
  <r>
    <s v="cardlink_acq"/>
    <s v="persist_cardlink_acq.cardlink_acq_ci1d1166_crdhd"/>
    <x v="0"/>
    <s v="Ready to execute"/>
    <d v="2024-03-26T00:00:00"/>
    <s v="TS08 Mandatory null_x000a_['issuedate', 'firstyearfee']_x000a__x000a_[28-Mar] EBAN confirmed that on EBAN production have null value for fields 'issuedate'_x000a_Test result : TS08 will be failed"/>
    <m/>
    <x v="4"/>
    <m/>
    <x v="5"/>
  </r>
  <r>
    <s v="cardlink_acq"/>
    <s v="persist_cardlink_acq.cardlink_acq_ci1d1178_crdreg"/>
    <x v="1"/>
    <s v="Ready to execute"/>
    <d v="2024-03-20T00:00:00"/>
    <s v="TS08 Mandatory null_x000a_['issuedate', 'firstyearfee']"/>
    <m/>
    <x v="4"/>
    <m/>
    <x v="5"/>
  </r>
  <r>
    <s v="cardlink_acq"/>
    <s v="persist_cardlink_acq.cardlink_acq_ci1d1167_cardtype"/>
    <x v="0"/>
    <s v="Passed"/>
    <s v="2024-03-20"/>
    <m/>
    <m/>
    <x v="8"/>
    <m/>
    <x v="5"/>
  </r>
  <r>
    <s v="trade_na"/>
    <s v="persist_trade_na.trade_na_src_eximar"/>
    <x v="1"/>
    <s v="Not Start"/>
    <d v="2023-05-31T00:00:00"/>
    <s v="[28-Mar Tee] Ingestion Success_x000a_TS08 Mandatory null_x000a_The following mandatory column(s) contain null value: ['bill_cyc_id', 'blc_code_id', 'call_dt', 'put_dt', 'call_prc', 'put_prc', 'cc_tp_id', 'cls_bal_amt', 'clt_amt', 'clt_tp', 'cmpd_frq', 'ctr_sign_dt', 'cost_cntr', 'cntpr_nm', 'nxt_pnp_pymt_amt', 'nxt_int_pymt_amt', 'crn_stmt_bal', 'bsn_code_id', 'ip_id', 'cst_tp_id', 'dept_no', 'exn_dep_amt', 'grc_prd', 'hld_ac', 'hld_bal_amt', 'ar_hld_tp_id', 'prch_sale_ind', 'rcv_pay_ind', 'issu_dt', 'ivsm_tp', 'issur_nm', 'last_rprc_dt', 'ar_pps_tp_id', 'mtm_val', 'orig_pymt_amt', 'opn_bal_amt', 'clc_int_stop_dt', 'prd_flr_rate', 'prd_cap_rate', 'prev_stmt_bal', 'rate_cap', 'rate_flr', 'rprc_sprd_rate', 'rvrs_acr_int_dt', 'sp_itnl_rtg', 'tris_itnl_rtg', 'fitch_itnl_rtg', 'moodys_itnl_rtg', 'scr_nm', 'ln_clsfd_bot', 'tsr_rate_end_dt', 'tsr_rate', 'tsr_rate_tp_id', 'ppymt_bal_amt', 'ppymt_dt', 'ppymt_f', 'lmt_amt_rng', 'pct_non_rvl', 'ac_ofcr', 'crn_rate_fix', 'exn_mo_f', 'fwd_tp_code', 'npl_dt', 'orig_admn_rate', 'setl_dt', 'val_dt', 'yld_to_mat', 'pymt_due_dt', 'ln_clsfd', 'ac_ofcr_pd_f', 'cst_seg_id', 'ppn_dt', 'ppn_tm', 'src_stm_id', 'sub_product']_x000a__x000a_TS12 _x000a_All week-based patterns are unsupported since Spark 3.0, detected: e, Please use the SQL function EXTRACT instead _x000a_[28-Mar] Fixed init raw ( added record type)"/>
    <m/>
    <x v="4"/>
    <s v="source"/>
    <x v="7"/>
  </r>
  <r>
    <s v="dgtl_fctrng"/>
    <s v="persist_dgtl_fctrng.dgtl_fctrng_v_purref"/>
    <x v="2"/>
    <s v="Passed"/>
    <s v="2024-03-20"/>
    <m/>
    <m/>
    <x v="19"/>
    <m/>
    <x v="5"/>
  </r>
  <r>
    <s v="dgtl_fctrng"/>
    <s v="persist_dgtl_fctrng.dgtl_fctrng_v_product"/>
    <x v="2"/>
    <s v="Passed"/>
    <s v="2024-03-20"/>
    <m/>
    <m/>
    <x v="19"/>
    <m/>
    <x v="5"/>
  </r>
  <r>
    <s v="dgtl_fctrng"/>
    <s v="persist_dgtl_fctrng.dgtl_fctrng_v_clientlimit"/>
    <x v="2"/>
    <s v="Passed"/>
    <s v="2024-03-20"/>
    <s v="Primary Key Duplicate_x000a_['orgcode', 'clientcode', 'startdate', 'seq']_x000a_[25-Mar] Source confirmed add PK for 'limittype'"/>
    <s v="[25-Mar] Source confirmed add PK for 'limittype'"/>
    <x v="19"/>
    <m/>
    <x v="5"/>
  </r>
  <r>
    <s v="dgtl_fctrng"/>
    <s v="persist_dgtl_fctrng.dgtl_fctrng_v_cis"/>
    <x v="2"/>
    <s v="Passed"/>
    <s v="2024-03-20"/>
    <m/>
    <m/>
    <x v="19"/>
    <m/>
    <x v="5"/>
  </r>
  <r>
    <s v="dgtl_fctrng"/>
    <s v="persist_dgtl_fctrng.dgtl_fctrng_v_interestspread"/>
    <x v="2"/>
    <s v="Passed"/>
    <s v="2024-03-20"/>
    <s v="float column display 0.00 in test vs 0 in sql_x000a_"/>
    <m/>
    <x v="19"/>
    <m/>
    <x v="5"/>
  </r>
  <r>
    <s v="fcd"/>
    <s v="persist_fcd.fcd_ar"/>
    <x v="1"/>
    <s v="Ready to execute"/>
    <d v="2024-03-20T00:00:00"/>
    <s v="[27 Mar] TS05  _x000a_datatype  9(11)V9(5) แปลงเป็นdecimal16,2 หรือ decimal 16,5 - fixed_x000a__x000a_Data source 68 / CBR 67 / KBMF 68_x000a_TS03: count col mismatch_x000a_TS04: col name mismatch_x000a_TS12: thai encoder - from source"/>
    <s v="[27-Mar] Updated CBR to decimal 16,5 and fixed init, spec_x000a_[25-Mar] EBAN confirmed to align spec from KBMF 68 fields"/>
    <x v="20"/>
    <m/>
    <x v="5"/>
  </r>
  <r>
    <s v="gts"/>
    <s v="persist_gts.gts_kbgt_limit"/>
    <x v="1"/>
    <s v="Passed"/>
    <d v="2024-03-19T00:00:00"/>
    <s v="TS08:Mandatory null ['facility_description', 'approverid', 'makerid']_x000a__x000a_[25-Mar] EBAN confirmed that on prodution don't have null value for all field "/>
    <m/>
    <x v="4"/>
    <m/>
    <x v="5"/>
  </r>
  <r>
    <s v="gts"/>
    <s v="persist_gts.gts_dbtl4xl6"/>
    <x v="1"/>
    <s v="Passed"/>
    <s v="2024-03-20"/>
    <m/>
    <m/>
    <x v="8"/>
    <m/>
    <x v="5"/>
  </r>
  <r>
    <s v="hris"/>
    <s v="persist_hris.hris_staff_accnt_vw"/>
    <x v="1"/>
    <s v="Ready to execute"/>
    <s v="2024-03-26"/>
    <s v="[27-Mar] AssertionError: Control File Record Count 20789 is not equal to spark dataframe record count 20788_x000a__x000a_[26 Mar] extraction error_x000a_แก้ extraction config , job config, CBR จาก _x000a_hris_staff_accnt_vw_YYYYMMDD.txt_x000a_ _x000a_เป็น_x000a_extraction config : HRIS_STAFF_ACCNT_{{ptn_yyyy}}{{ptn_mm}}{{ptn_dd}}.* _x000a_CBR:  HRIS_STAFF_ACCNT_YYYYMMDD.txt _x000a__x000a_[27Mar] _x000a_-Fixed both extraction and job config about name _x000a_extraction config : HRIS_STAFF_ACCNT_{{ptn_yyyy}}{{ptn_mm}}{{ptn_dd}}.* _x000a_CBR:  HRIS_STAFF_ACCNT_YYYYMMDD.txt _x000a__x000a_- Fixed Columns name flag Y -&gt;&gt; N"/>
    <s v="[26 Mar] CBR updated Column Name Flag from &quot;Y&quot; to &quot;N&quot;  to_x000a_CBR_Ingestion_hris_staff_accnt_vw_v02_00_00"/>
    <x v="21"/>
    <m/>
    <x v="5"/>
  </r>
  <r>
    <s v="kplus"/>
    <s v="persist_kplus.kplus_view_balancealertreglog_log"/>
    <x v="3"/>
    <s v="Passed"/>
    <d v="2018-08-06T00:00:00"/>
    <m/>
    <m/>
    <x v="8"/>
    <m/>
    <x v="5"/>
  </r>
  <r>
    <s v="kplus"/>
    <s v="persist_kplus.kplus_jmobiletranloghd"/>
    <x v="3"/>
    <s v="Ready to execute"/>
    <d v="2024-03-25T00:00:00"/>
    <m/>
    <m/>
    <x v="8"/>
    <m/>
    <x v="5"/>
  </r>
  <r>
    <s v="kplus"/>
    <s v="persist_kplus.kplus_view_simbankbankinfo_log"/>
    <x v="3"/>
    <s v="Passed"/>
    <d v="2024-03-10T00:00:00"/>
    <s v="SUCCESS - 2024-03-10"/>
    <m/>
    <x v="8"/>
    <m/>
    <x v="5"/>
  </r>
  <r>
    <s v="lpm_wrtoff"/>
    <s v="persist_lpm_wrtoff.lpm_wrtoff_pscp_wo_wo1d04h_sam"/>
    <x v="1"/>
    <s v="Not Start"/>
    <m/>
    <s v="Pending enhance file .SAM"/>
    <m/>
    <x v="8"/>
    <d v="2024-03-31T00:00:00"/>
    <x v="5"/>
  </r>
  <r>
    <s v="mx"/>
    <s v="persist_mx.mx_mktevent"/>
    <x v="1"/>
    <s v="Passed"/>
    <d v="2024-01-23T00:00:00"/>
    <m/>
    <m/>
    <x v="8"/>
    <m/>
    <x v="5"/>
  </r>
  <r>
    <s v="mx"/>
    <s v="persist_mx.mx_mmlivemat"/>
    <x v="1"/>
    <s v="Passed"/>
    <s v="2024-03-21"/>
    <s v="prinamt - inconsistant floating point ( decimal type)_x000a_Source 42/ spec 41 (data file no header) _x000a_&gt;&gt; Add field 'ctpy_full_name' =&gt; Fixed"/>
    <m/>
    <x v="0"/>
    <m/>
    <x v="5"/>
  </r>
  <r>
    <s v="mx"/>
    <s v="persist_mx.mx_report_limit_ctp_funded_forint"/>
    <x v="1"/>
    <s v="Passed"/>
    <d v="2024-03-19T00:00:00"/>
    <m/>
    <m/>
    <x v="8"/>
    <m/>
    <x v="5"/>
  </r>
  <r>
    <s v="mx"/>
    <s v="persist_mx.mx_report_limit_pse_forint"/>
    <x v="1"/>
    <s v="Passed"/>
    <d v="2024-03-19T00:00:00"/>
    <m/>
    <m/>
    <x v="8"/>
    <m/>
    <x v="5"/>
  </r>
  <r>
    <s v="mx"/>
    <s v="persist_mx.mx_report_limit_se_forint"/>
    <x v="1"/>
    <s v="Passed"/>
    <d v="2024-03-19T00:00:00"/>
    <m/>
    <m/>
    <x v="8"/>
    <m/>
    <x v="5"/>
  </r>
  <r>
    <s v="mx"/>
    <s v="persist_mx.mx_reset_lp_ctp_funded_forint"/>
    <x v="1"/>
    <s v="Passed"/>
    <d v="2024-03-19T00:00:00"/>
    <s v="Mandatory null_x000a_['counterparty_staus']"/>
    <m/>
    <x v="4"/>
    <m/>
    <x v="5"/>
  </r>
  <r>
    <s v="mx"/>
    <s v="persist_mx.mx_reset_mplcde_forint"/>
    <x v="1"/>
    <s v="Passed"/>
    <d v="2024-03-19T00:00:00"/>
    <s v="Mandatory null_x000a_['counterparty_staus']"/>
    <m/>
    <x v="4"/>
    <m/>
    <x v="5"/>
  </r>
  <r>
    <s v="mx"/>
    <s v="persist_mx.mx_limiteffective"/>
    <x v="1"/>
    <s v="Passed"/>
    <d v="2024-03-19T00:00:00"/>
    <m/>
    <m/>
    <x v="8"/>
    <m/>
    <x v="5"/>
  </r>
  <r>
    <s v="pcb_dep"/>
    <s v="persist_pcb_dep.pcb_dep_src_pf_ar_sa_dly"/>
    <x v="1"/>
    <s v="Not Start"/>
    <m/>
    <s v="Mandatory null ['pcb_int_idnx', 'tax_owner']_x000a_[25-Mar] EBAN confirmed that on prodution have null value for field 'pcb_int_idnx'_x000a_TS12: thai encoding - from source - order 2024-03-24"/>
    <m/>
    <x v="4"/>
    <s v="pending re-order for Thai encode"/>
    <x v="5"/>
  </r>
  <r>
    <s v="pcb_dep"/>
    <s v="persist_pcb_dep.pcb_dep_src_pf_ar_ca_dly"/>
    <x v="1"/>
    <s v="Not Start"/>
    <m/>
    <s v="TS08: Mandatory null_x000a_['cls_dt', 'bsn_code_id', 'psbk_no', 'neg_cmpd_frq_unit', 'eff_int_rate_tp_id']_x000a_TS12: thai encoding - from source - order 2024-03-24"/>
    <m/>
    <x v="4"/>
    <s v="pending re-order for Thai encode"/>
    <x v="5"/>
  </r>
  <r>
    <s v="pcb_dep"/>
    <s v="persist_pcb_dep.pcb_dep_src_pf_ar_fx_dly"/>
    <x v="1"/>
    <s v="Ready to execute"/>
    <s v="2024-03-20"/>
    <s v="TS12: thai encoding - from source - order 2024-03-24_x000a__x000a_[25 Mar 24 Warm]_x000a_- All format DATE, TIMESTAMP incorrect_x000a_Spec - timestamp : yyyy-MM-dd HH:mm:ss_x000a_Data : yyyyMMdd_x000a__x000a_[Kate] _x000a_- Check Data : ภาษาไทย Eban สามารถแสดงผลได้ตามปกติ_x000a_- TC12 :  Field src_pos_dt,opn_dt,eff_dt,mat_dt,last_cst_avy_dt,last_int_pymt_dt แสดงปี คศ เป็น 1400-01-01T00:00:00+07:00"/>
    <s v="[26-Mar] EBAN Team agreed to refer spec for date datatype as data source (Convert spec from timestamp to date yyyyMMdd)"/>
    <x v="5"/>
    <s v="pending re-order for Thai encode"/>
    <x v="5"/>
  </r>
  <r>
    <s v="pcb_dep"/>
    <s v="persist_pcb_dep.pcb_dep_src_pf_ar_sf_dly"/>
    <x v="1"/>
    <s v="Ready to execute"/>
    <s v="2024-03-20"/>
    <s v="TS12: thai encoding - from source - order 2024-03-24"/>
    <m/>
    <x v="12"/>
    <s v="pending re-order for Thai encode"/>
    <x v="5"/>
  </r>
  <r>
    <s v="pcb_dep"/>
    <s v="persist_pcb_dep.pcb_dep_src_pf_txn_mis_eft_dly"/>
    <x v="1"/>
    <s v="Not Start"/>
    <m/>
    <s v="TS08: Mandatory null_x000a_['fm_ar_id', 'txn_tel_fee', 'fm_ar_domc_br_no', 'fm_coa_pd_ftr_code', 'eft_chk_nbr']_x000a_TS12: thai encoding - from source - order 2024-03-24"/>
    <m/>
    <x v="4"/>
    <s v="pending re-order for Thai encode"/>
    <x v="5"/>
  </r>
  <r>
    <s v="pcb_dep"/>
    <s v="persist_pcb_dep.pcb_dep_cls500029"/>
    <x v="1"/>
    <s v="Not Start"/>
    <m/>
    <s v="[28-Mar] No header and footer, but header and footer are specified in job config =&gt; Source to confirm_x000a__x000a_Control File Record Count is not equal to spark dataframe record count_x000a__x000a_[1-April M] Fixed jobconfig (header/tailer)_x000a_"/>
    <m/>
    <x v="0"/>
    <s v="pending reorder"/>
    <x v="4"/>
  </r>
  <r>
    <s v="pcb_dep"/>
    <s v="persist_pcb_dep.pcb_dep_src_pf_ar_ca_cr_inf_dly"/>
    <x v="4"/>
    <s v="Not Start"/>
    <m/>
    <s v="UnicodeDecodeError: 'utf-8' codec can't decode byte 0xb9 in position 979: invalid start byte"/>
    <m/>
    <x v="12"/>
    <s v="pending re-order for Thai encode"/>
    <x v="4"/>
  </r>
  <r>
    <s v="pcb_dep"/>
    <s v="persist_pcb_dep.pcb_dep_src_pf_ar_ca_limit_dly"/>
    <x v="1"/>
    <s v="Passed"/>
    <s v="2024-03-20"/>
    <m/>
    <m/>
    <x v="8"/>
    <m/>
    <x v="5"/>
  </r>
  <r>
    <s v="pcb_loan"/>
    <s v="persist_pcb_loan.pcb_loan_common_limit_info"/>
    <x v="1"/>
    <s v="Not Start"/>
    <m/>
    <s v="TS08 Mandatory null_x000a_['ar_nm_th']"/>
    <m/>
    <x v="4"/>
    <s v="pending re-order for Thai encode"/>
    <x v="5"/>
  </r>
  <r>
    <s v="pcb_loan"/>
    <s v="persist_pcb_loan.pcb_loan_common_market_code"/>
    <x v="1"/>
    <s v="Ready to execute"/>
    <s v="2024-03-20"/>
    <s v="TS12: thai encoding - from source - order 2024-03-24"/>
    <m/>
    <x v="12"/>
    <s v="pending re-order for Thai encode"/>
    <x v="5"/>
  </r>
  <r>
    <s v="pcb_loan"/>
    <s v="persist_pcb_loan.pcb_loan_common_rate_type"/>
    <x v="1"/>
    <s v="Ready to execute"/>
    <s v="2024-03-25"/>
    <m/>
    <m/>
    <x v="12"/>
    <s v="pending re-order for Thai encode"/>
    <x v="5"/>
  </r>
  <r>
    <s v="pcb_loan"/>
    <s v="persist_pcb_loan.pcb_loan_common_account_tier_by_time"/>
    <x v="1"/>
    <s v="Passed"/>
    <s v="2024-03-21"/>
    <m/>
    <m/>
    <x v="8"/>
    <m/>
    <x v="5"/>
  </r>
  <r>
    <s v="pcb_loan"/>
    <s v="persist_pcb_loan.pcb_loan_common_sub_type"/>
    <x v="1"/>
    <s v="Ready to execute"/>
    <s v="2024-03-21"/>
    <s v="TS12: thai encoding - from source - order 2024-03-24"/>
    <m/>
    <x v="12"/>
    <s v="pending re-order for Thai encode"/>
    <x v="5"/>
  </r>
  <r>
    <s v="pcb_loan"/>
    <s v="persist_pcb_loan.pcb_loan_common_loan_purpose_table"/>
    <x v="1"/>
    <s v="Ready to execute"/>
    <s v="2024-03-20"/>
    <s v="TS12: thai encoding - from source - order 2024-03-24"/>
    <m/>
    <x v="12"/>
    <s v="pending re-order for Thai encode"/>
    <x v="5"/>
  </r>
  <r>
    <s v="pcb_loan"/>
    <s v="persist_pcb_loan.pcb_loan_common_transaction_file"/>
    <x v="1"/>
    <s v="Passed"/>
    <m/>
    <s v="TS08 Mandatory null ['ahr_lvl_id']_x000a__x000a_[28-Mar] EBAN confirmed that on EBAN production have null value for field 'ahr_lvl_id'_x000a_Test result : TS08 will be failed"/>
    <m/>
    <x v="4"/>
    <m/>
    <x v="5"/>
  </r>
  <r>
    <s v="scf"/>
    <s v="persist_scf.scf_vw_rdt_scf_cl"/>
    <x v="2"/>
    <s v="Passed"/>
    <m/>
    <s v="[25-Mar] EBAN confirmed that on prodution have null value for field 'entity_id'_x000a_Test result : TS08 will be failed"/>
    <m/>
    <x v="4"/>
    <m/>
    <x v="5"/>
  </r>
  <r>
    <s v="scf"/>
    <s v="persist_scf.scf_vw_scm_acct"/>
    <x v="2"/>
    <s v="Ready to execute"/>
    <s v="2024-03-20"/>
    <s v="[26 Mar]_x000a_CBR format - yyyy-MM-dd HH:mm:ss.SSS_x000a_Source data - yyyy-MM-dd HH:mm:ss.SSSSSS"/>
    <s v="[27-Mar]  EBAN Team agreed to align format by Data file for 2 fields dtecreatedate,dteupddate(yyyy-MM-dd HH:mm:ss.SSSSSS)"/>
    <x v="5"/>
    <m/>
    <x v="5"/>
  </r>
  <r>
    <s v="scf"/>
    <s v="persist_scf.scf_product_map"/>
    <x v="2"/>
    <s v="Passed"/>
    <s v="2024-03-20"/>
    <m/>
    <m/>
    <x v="19"/>
    <m/>
    <x v="5"/>
  </r>
  <r>
    <s v="scf"/>
    <s v="persist_scf.scf_vw_rdt_scf_cl_acct"/>
    <x v="2"/>
    <s v="Passed"/>
    <s v="2024-03-20"/>
    <m/>
    <m/>
    <x v="19"/>
    <m/>
    <x v="5"/>
  </r>
  <r>
    <s v="ud"/>
    <s v="persist_ud.ud_vw_flt_rl_sub_bal_enq"/>
    <x v="2"/>
    <s v="Passed"/>
    <s v="2024-03-20"/>
    <s v="Mismatch data layout_x000a_- Data source 16/ KBMF 16/ CBR EBAN 15_x000a_&gt;&gt; EBAN Team agreed to align spec by CBR EBAN_x000a_TS03: num col mismatch_x000a_TS04: col name mismatch"/>
    <s v="[21-Mar] EBAN Team agreed to align table structure by CBR EBAN 15 fields (diff with data 1 field 'app_date')_x000a_Test result : TS03, TS04, TS12 will be failed_x000a__x000a_check date column??"/>
    <x v="0"/>
    <m/>
    <x v="5"/>
  </r>
  <r>
    <s v="ud"/>
    <s v="persist_ud.ud_vw_flt_dp_div_cert_inc"/>
    <x v="2"/>
    <s v="Not Start"/>
    <d v="2024-03-28T00:00:00"/>
    <s v="TS05: datatype mismatch_x000a_TS12: date and timestamp field_x000a__x000a_- All format DATE, TIMESTAMP incorrect_x000a_Spec : yyyyMMdd HHmmss_x000a_Data : yyyy-MM-dd HH:mm:ss, yyyy-MM-dd HH:mm:ss.SSSSSS"/>
    <s v="[28-Mar] Updated Data Type+ Format for Target table for 4 fields to Timestamp_x000a_- effective_date_of_transfer_x000a_- extraction_date_x000a_- dividend_processing_date_x000a_- bookclosingdate"/>
    <x v="5"/>
    <s v="[29-Mar]  Pending test"/>
    <x v="7"/>
  </r>
  <r>
    <s v="rmst"/>
    <s v="persist_rmst.rmst_customer"/>
    <x v="5"/>
    <s v="Passed"/>
    <s v="2024-03-14"/>
    <s v="RMST initial data : 2024-03-14, 2024-03-15, 2024-03-16, 2024-03-17 (fixed) , 2024-03-18 (fixed)_x000a__x000a_[27-Mar] run on-going on pos_dt: 2024-03-15 - source is not equal to control file_x000a_- Source: 1019430, Control: 1019429"/>
    <m/>
    <x v="8"/>
    <s v="RMST initial data : 2024-03-14, 2024-03-15, 2024-03-16, 2024-03-17 (fixed) , 2024-03-18 (fixed)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gts"/>
    <s v="persist_gts.gts_dbttnrel"/>
    <s v="Plan B: Source File (EBAN)"/>
    <x v="0"/>
    <s v="2024-03-20"/>
    <s v="Empty file"/>
    <m/>
    <x v="0"/>
    <x v="0"/>
    <s v="P'Fon"/>
    <b v="0"/>
    <x v="0"/>
    <b v="0"/>
  </r>
  <r>
    <s v="cardlink"/>
    <s v="persist_cardlink.cardlink_kb1dh002_cpbcrd"/>
    <s v="Plan B: Source File (DIH)"/>
    <x v="0"/>
    <m/>
    <s v="[29-Mar] source 465| raw 466_x000a_Data source xx | CBR xx |KBMF xx |_x000a__x000a_[Fixed] 2 hours processed, needs upsize also"/>
    <m/>
    <x v="1"/>
    <x v="1"/>
    <s v="Kaew"/>
    <b v="0"/>
    <x v="0"/>
    <b v="0"/>
  </r>
  <r>
    <s v="trade_na"/>
    <s v="persist_trade_na.trade_na_lcr070"/>
    <s v="Plan B: Source File (EBAN)"/>
    <x v="0"/>
    <m/>
    <s v="[28-Mar] data in date column is not correct as format =&gt; Pending source to confirm date data_x000a__x000a_[26-Mar]_x000a_Mandatory null_x000a_ ['lcacno', 'lclsrt', 'lcddte', 'lcinfg', 'lccndt', 'lcrvdt', 'lcspty', 'lcrspd']_x000a__x000a_CBR  incorrect date format - ['lcvdte','lcddte']_x000a_Spec - yyyyMMdd_x000a_data file - yyMMdd_x000a__x000a_TS12 unknown date format - ['lccndt', 'lcrvdt'] =&gt; Pending source to confirm date data_x000a_Source send all null, suspect that it might be wrong format as the above 2 field"/>
    <s v="[28-Mar] Updated date format  ['lcvdte','lcddte'] yyMMdd to be as data file =&gt; Fixed_x000a_[25-Mar] Update source datasize number (added precision) =&gt; Fixed"/>
    <x v="2"/>
    <x v="0"/>
    <s v="Kaew"/>
    <b v="0"/>
    <x v="0"/>
    <b v="0"/>
  </r>
  <r>
    <s v="pcb_loan"/>
    <s v="persist_pcb_loan.pcb_loan_common_product_type"/>
    <s v="Plan B: Source File (EBAN)"/>
    <x v="0"/>
    <m/>
    <s v="[1-April] fw target Wed 3-April_x000a_[27-Mar] Framework need enhancement on header or tailor record has column more than body record"/>
    <m/>
    <x v="3"/>
    <x v="2"/>
    <s v="FW"/>
    <b v="0"/>
    <x v="0"/>
    <b v="0"/>
  </r>
  <r>
    <s v="cardlink"/>
    <s v="persist_cardlink.cardlink_kb1dh005_kbbcrd"/>
    <s v="Plan B: Source File (DIH)"/>
    <x v="0"/>
    <m/>
    <s v="[27-Mar] source 74| raw 71"/>
    <m/>
    <x v="1"/>
    <x v="3"/>
    <s v="Kaew"/>
    <b v="0"/>
    <x v="0"/>
    <b v="0"/>
  </r>
  <r>
    <s v="cardlink"/>
    <s v="persist_cardlink.cardlink_kb1dh003_cpbcus"/>
    <s v="Plan B: Source File (DIH)"/>
    <x v="0"/>
    <m/>
    <s v="[27-Mar] source 113| raw 111"/>
    <m/>
    <x v="1"/>
    <x v="3"/>
    <s v="Kaew"/>
    <b v="0"/>
    <x v="0"/>
    <b v="0"/>
  </r>
  <r>
    <s v="cardlink"/>
    <s v="persist_cardlink.cardlink_kb1dh006_kbbcus"/>
    <s v="Plan B: Source File (DIH)"/>
    <x v="0"/>
    <m/>
    <s v="[27-Mar] source 35| raw 28"/>
    <m/>
    <x v="1"/>
    <x v="3"/>
    <s v="Kaew"/>
    <b v="0"/>
    <x v="0"/>
    <b v="0"/>
  </r>
  <r>
    <s v="cardlink"/>
    <s v="persist_cardlink.cardlink_kb1dh011_cc1d2027"/>
    <s v="Plan B: Source File (DIH)"/>
    <x v="0"/>
    <m/>
    <s v="[27-Mar] Fixed length mapping is not correct, _x000a_ref - INGT_SIT_0073_x000a_https://kasikornbankgroup.sharepoint.com/:x:/s/DocumentRepository/Data%20-%20Analytics/EVNQm3Jxo0xBlN_XYjolql0Bsq4FIiqlOg11xdBTKDqPqQ?e=BCxCeG"/>
    <s v="offset"/>
    <x v="4"/>
    <x v="1"/>
    <s v="Kaew"/>
    <b v="0"/>
    <x v="0"/>
    <b v="0"/>
  </r>
  <r>
    <s v="cardlink"/>
    <s v="persist_cardlink.cardlink_kb1dh007_cpahf"/>
    <s v="Plan B: Source File (DIH)"/>
    <x v="0"/>
    <m/>
    <s v="[27-Mar] source 21 | raw 20"/>
    <m/>
    <x v="1"/>
    <x v="3"/>
    <s v="Kaew"/>
    <b v="0"/>
    <x v="0"/>
    <b v="0"/>
  </r>
  <r>
    <s v="cardlink"/>
    <s v="persist_cardlink.cardlink_kb1dh013_eptrans"/>
    <s v="Plan B: Source File (DIH)"/>
    <x v="0"/>
    <m/>
    <s v="[28-Mar Tee] invalid literal for int() with base 10: '53|' -&gt; fixed length mapping for footer is not correct - INGT_SIT_0076_x000a_Fixed length data, but delimiter at footer ?_x000a__x000a_[27-Mar] UnicodeError_x000a__x000a_[28-Mar M] Implement Encoding to job config for ANSI"/>
    <s v="Offset_x000a_btw to check CBR EBAN (source)"/>
    <x v="5"/>
    <x v="4"/>
    <s v="Kaew_x000a_M"/>
    <b v="0"/>
    <x v="0"/>
    <b v="0"/>
  </r>
  <r>
    <s v="cardlink"/>
    <s v="persist_cardlink.cardlink_kb1dh014_cc1dmpgl"/>
    <s v="Plan B: Source File (DIH)"/>
    <x v="0"/>
    <m/>
    <s v="[28-Mar Tee] fixed length mapping for footer is not correct - INGT_SIT_0077_x000a_Fixed length data, but delimiter at footer ?_x000a__x000a_[27-Mar] UnicodeError_x000a__x000a_[28-Mar M] Implement Encoding to job config for ANSI"/>
    <m/>
    <x v="5"/>
    <x v="4"/>
    <s v="Kaew_x000a_M"/>
    <b v="0"/>
    <x v="0"/>
    <b v="0"/>
  </r>
  <r>
    <s v="gts"/>
    <s v="persist_gts.gts_kbgt_loan_outstanding"/>
    <s v="Plan B: Source File (EBAN)"/>
    <x v="1"/>
    <d v="2024-03-27T00:00:00"/>
    <s v="[1-Apr] EBAN confirmed that on EBAN production have null value for fields 'center_code', 'nxt_int_pymt_dt', 'ppymt_f'_x000a_Test result : TS08 will be failed_x000a__x000a_TS08: Mandatory null_x000a_ ['maturity_date', 'due_date', 'center_code', 'nxt_int_pymt_dt', 'ppymt_f']_x000a__x000a_Mismatch data layout (data file no header)_x000a_Data source 159 /KBMF 159/CBR EBAN 157_x000a_Update CBR MDP to Align with KBMF"/>
    <s v="[28-Mar] Updated CBR to align with new KBMF from EBAN team 159 fields_x000a__x000a__x000a_[27-Mar] EBAN send new version of KBMF (KBMF-Batch_NTF_Loan_Outstanding_DIH_v0.0.36_20240322)"/>
    <x v="6"/>
    <x v="5"/>
    <m/>
    <b v="1"/>
    <x v="1"/>
    <b v="1"/>
  </r>
  <r>
    <s v="gts"/>
    <s v="persist_gts.gts_kbgt_limit_allocated"/>
    <s v="Plan B: Source File (EBAN)"/>
    <x v="0"/>
    <m/>
    <s v="Mismatch data layout with spec (data file incorrect sequence)_x000a_- data file no header_x000a_- column seq 21 = updated_date"/>
    <s v="[1-Apr] _x000a_- Enhance TS05: NUMERIC_10,7_x000a_- EBAN team provided new KBMF =&gt; Update CBR as new KBMF_x000a__x000a_[28-Mar] Pending EBAN Team to update new CBR_x000a_check ใน CBR EBAN seq21 = issue_date, seq22 = update_date"/>
    <x v="1"/>
    <x v="6"/>
    <s v="Tee"/>
    <b v="0"/>
    <x v="0"/>
    <b v="0"/>
  </r>
  <r>
    <s v="kplus"/>
    <s v="persist_kplus.kplus_jmobileactlog_log"/>
    <s v="Plan B: EBAN Extraction File (Push)"/>
    <x v="2"/>
    <m/>
    <s v="Mismatch data layout_x000a_- Data source 31| CBR EBAN(Ref) 26| KBMF 26_x000a_[29-Mar] EBAN confirmed to use CBR_V_MB_ACTN_LOG_v.1.8.xlsx (Tab: Request Field source 509) and exclude 5 additional field by using full column name from KBMF EBAN IN_x000a__x000a_Src column name _x000a_LogID|TranDateTime|TranDesc|MobileNo|MobileOperator|CurrentAccountNo|SavingAccountNo|CardNoEncrypt|CardType|Language|OTP|PIN|UpgradeFlag|ThirdFundTransferFlag|ProductCode|Channel|Location|UserName|ResponseCode|Remark|UpdateType|OldUpdateValue|NewUpdateValue|IPAddress|Latitude|Longitude|AdditionalData1|AdditionalData2|AdditionalData3|AdditionalData4|AdditionalData5_x000a__x000a_ValueError: Data source schema mismatches with the target table, missing the columns: cardno"/>
    <s v="[29-Mar Saranchai S.] Completed Revise CBR_x000a__x000a_[29-Mar] EBAN confirmed to use CBR_V_MB_ACTN_LOG_v.1.8.xlsx (Tab: Request Field source 509)"/>
    <x v="1"/>
    <x v="5"/>
    <m/>
    <b v="0"/>
    <x v="0"/>
    <b v="0"/>
  </r>
  <r>
    <s v="kplus"/>
    <s v="persist_kplus.kplus_actlog_qlocal"/>
    <s v="Plan B: EBAN Extraction File (Push)"/>
    <x v="0"/>
    <m/>
    <s v="Mismatch data layout_x000a_- Data source 31| CBR EBAN(Ref) 26| KBMF 26_x000a_[29-Mar] EBAN pending to confirm using CBR_V_MB_ACTN_LOG_v.1.8.xlsx (Tab: Request Field source xxx) and include 5 additional field by using full column name from KBMF EBAN IN_x000a__x000a_Mismatch data layout src 31/ raw 26/ persist 26_x000a_Src column name _x000a_LogID|TranDateTime|TranDesc|MobileNo|MobileOperator|CurrentAccountNo|SavingAccountNo|CardNoEncrypt|CardType|Language|OTP|PIN|UpgradeFlag|ThirdFundTransferFlag|ProductCode|Channel|Location|UserName|ResponseCode|Remark|UpdateType|OldUpdateValue|NewUpdateValue|IPAddress|Latitude|Longitude|AdditionalData1|AdditionalData2|AdditionalData3|AdditionalData4|AdditionalData5_x000a__x000a_TS08: Mandatory null_x000a_['logid']_x000a__x000a_ValueError: Data source schema mismatches with the target table, missing the columns: cardno"/>
    <s v="[28-Mar Saranchai S.] Pending P' Jo to confirm CBR reference_x000a_Revise CBR: add column AdditionalData1,AdditionalData2,AdditionalData3,AdditionalData4,AdditionalData5"/>
    <x v="7"/>
    <x v="0"/>
    <s v="Kaew"/>
    <b v="0"/>
    <x v="0"/>
    <b v="0"/>
  </r>
  <r>
    <s v="ks"/>
    <s v="persist_ks.ks_fundportfolio"/>
    <s v="Plan B: Source File (EBAN)"/>
    <x v="2"/>
    <d v="2023-12-08T00:00:00"/>
    <s v="[29-Mar]_x000a_TS04: column name change src_pos_dt"/>
    <s v="Due to the column name change from as_of_dt to src_pos_dt_x000a_Test result : TS04 will be failed"/>
    <x v="6"/>
    <x v="5"/>
    <m/>
    <b v="1"/>
    <x v="1"/>
    <b v="0"/>
  </r>
  <r>
    <s v="mx"/>
    <s v="persist_mx.mx_src_murx_deal_ar"/>
    <s v="Plan B: Source File (EBAN)"/>
    <x v="0"/>
    <d v="2024-02-29T00:00:00"/>
    <s v="[29-Mar Warm last message] _x000a_TS04_x000a_Error column name posn_dt -&gt; src_pos_dt_x000a_TS11_x000a_Change logic to convert persist decimal to double -&gt; error_x000a_TS12 _x000a_persist re-ingest date field still 1400_x000a__x000a__x000a__x000a_Source 125/ spec 42 (data file no header)_x000a_- incorrect CBR spec provided"/>
    <s v="[1 Apr] TS4,TS11,TS12 failed_x000a_-Sum record_x000a__x000a_[28-Mar] Updated date format (yyyyMMdd) to be aligned with data file_x000a_[22-Mar] Update CBE Foundateion (Reference : CBR_VP_CMB_DEAL_AR_DTL_MO_v0.1)_x000a_Aligned with source  and CBR EBAN 125 Fields"/>
    <x v="1"/>
    <x v="6"/>
    <s v="Tee"/>
    <b v="0"/>
    <x v="0"/>
    <b v="0"/>
  </r>
  <r>
    <s v="pcb_dep"/>
    <s v="persist_pcb_dep.pcb_dep_extrate1"/>
    <s v="Plan B: Source File (EBAN)"/>
    <x v="2"/>
    <s v="2024-03-27"/>
    <s v="[1 Apr] All passed : No need to enhance Thai encode_x000a__x000a_[27-Mar] ValueError: invalid literal for int() with base 10: 'FZ0001'_x000a_File has no header and footer record, but config set header and footer"/>
    <s v="[28 Mar] EBAN team confirmed to remove header, tailor label"/>
    <x v="8"/>
    <x v="5"/>
    <s v="No need to enhance Thai encode"/>
    <b v="0"/>
    <x v="0"/>
    <b v="0"/>
  </r>
  <r>
    <s v="pcb_dep"/>
    <s v="persist_pcb_dep.pcb_dep_deptxn_db"/>
    <s v="Plan B: EBAN Extraction File (Push)"/>
    <x v="1"/>
    <s v="2024-03-19"/>
    <s v="TS12 _x000a_All week-based patterns are unsupported since Spark 3.0, detected: e, Please use the SQL function EXTRACT instead "/>
    <s v="[28-Mar] Updated CBR as per new version of CBR EBAN (Fixed Timestamp datasize) and EBAN confirmed timestamp format as 2024-03-24 00:00:00.0_x000a_[25-Mar] EBAN confirmed Update Datatype : ORIG_SRC_STM_ID smallint to int"/>
    <x v="6"/>
    <x v="5"/>
    <s v="M (Thai encode)"/>
    <b v="1"/>
    <x v="1"/>
    <b v="1"/>
  </r>
  <r>
    <s v="scf"/>
    <s v="persist_scf.scf_customer"/>
    <s v="Plan B: Pull DB"/>
    <x v="3"/>
    <s v="2024-03-26"/>
    <s v="[28-Mar Tee] _x000a_Source columns: 63_x000a_raw DDL columns: 60_x000a_- ['strcustaxid', 'strkbankaut', 'strcustype']_x000a__x000a_-----------------------------------------------------------------------_x000a__x000a_Mismatch data layout_x000a_- Data source 63 |CBR EBAN 60 | KBMF (spec) 50 _x000a_decfeeamt, decbalfeeamt, strlastfeedate, strpersoncont, strvostrocode, strmappingglno, strrmcode, strrmname, strsegment, strspokeid, strcustaxid, strkbankaut, strcustype_x000a__x000a_TS04 Failed_x000a_TS05 Failed_x000a_TS12 Failed _x000a_INGT_SIT_0063 : field ซ้ำ "/>
    <s v="[28-Mar Saranchai S.] Completed Revise CBR_x000a__x000a_[26-Mar] EBAN Team agreed to align table structure by CBR EBAN (diff with data 3 fields)"/>
    <x v="1"/>
    <x v="7"/>
    <s v="M"/>
    <b v="0"/>
    <x v="0"/>
    <b v="0"/>
  </r>
  <r>
    <s v="scf"/>
    <s v="persist_scf.scf_vw_trading_acct"/>
    <s v="Plan B: Pull DB"/>
    <x v="3"/>
    <m/>
    <s v="[27-Mar] Diff 3 fields from datafile (stroverdrawflg, strflagtype, strbankcode)_x000a__x000a_Mismatch data layout_x000a_- Data source 18 / raw 15 / persist 15_x000a_- CBR 15, KBMF 15 (CBR and KBMF are the same)"/>
    <s v="[28-Mar] EBAN Team confirmed to align table structure by CBR EBAN (diff with data 3 fields)_x000a__x000a_Use same KBMF (KBMF-(460)-SCM_TRADING_ACCT)"/>
    <x v="1"/>
    <x v="7"/>
    <s v="M"/>
    <b v="0"/>
    <x v="0"/>
    <b v="0"/>
  </r>
  <r>
    <s v="trade_na"/>
    <s v="persist_trade_na.trade_na_src_eximar"/>
    <s v="Plan B: Source File (EBAN)"/>
    <x v="0"/>
    <d v="2023-05-31T00:00:00"/>
    <s v="[28-Mar Tee] Ingestion Success_x000a_TS08 Mandatory null_x000a_The following mandatory column(s) contain null value: ['bill_cyc_id', 'blc_code_id', 'call_dt', 'put_dt', 'call_prc', 'put_prc', 'cc_tp_id', 'cls_bal_amt', 'clt_amt', 'clt_tp', 'cmpd_frq', 'ctr_sign_dt', 'cost_cntr', 'cntpr_nm', 'nxt_pnp_pymt_amt', 'nxt_int_pymt_amt', 'crn_stmt_bal', 'bsn_code_id', 'ip_id', 'cst_tp_id', 'dept_no', 'exn_dep_amt', 'grc_prd', 'hld_ac', 'hld_bal_amt', 'ar_hld_tp_id', 'prch_sale_ind', 'rcv_pay_ind', 'issu_dt', 'ivsm_tp', 'issur_nm', 'last_rprc_dt', 'ar_pps_tp_id', 'mtm_val', 'orig_pymt_amt', 'opn_bal_amt', 'clc_int_stop_dt', 'prd_flr_rate', 'prd_cap_rate', 'prev_stmt_bal', 'rate_cap', 'rate_flr', 'rprc_sprd_rate', 'rvrs_acr_int_dt', 'sp_itnl_rtg', 'tris_itnl_rtg', 'fitch_itnl_rtg', 'moodys_itnl_rtg', 'scr_nm', 'ln_clsfd_bot', 'tsr_rate_end_dt', 'tsr_rate', 'tsr_rate_tp_id', 'ppymt_bal_amt', 'ppymt_dt', 'ppymt_f', 'lmt_amt_rng', 'pct_non_rvl', 'ac_ofcr', 'crn_rate_fix', 'exn_mo_f', 'fwd_tp_code', 'npl_dt', 'orig_admn_rate', 'setl_dt', 'val_dt', 'yld_to_mat', 'pymt_due_dt', 'ln_clsfd', 'ac_ofcr_pd_f', 'cst_seg_id', 'ppn_dt', 'ppn_tm', 'src_stm_id', 'sub_product']_x000a__x000a_TS12 _x000a_All week-based patterns are unsupported since Spark 3.0, detected: e, Please use the SQL function EXTRACT instead _x000a_[28-Mar] Fixed init raw ( added record type)"/>
    <m/>
    <x v="9"/>
    <x v="0"/>
    <s v="P'Fon"/>
    <b v="0"/>
    <x v="0"/>
    <b v="0"/>
  </r>
  <r>
    <s v="ud"/>
    <s v="persist_ud.ud_vw_t_su_sub_uh_ful"/>
    <s v="Plan B: Pull DB"/>
    <x v="0"/>
    <d v="2024-03-28T00:00:00"/>
    <s v="missing the columns: src_pos_dt"/>
    <s v="[29-Mar] CBR + Iinit + spec mapping (Fixed) : Updated date, timestamp format yyyy-MM-dd HH:mm:ss and yyyy-MM-dd HH:mm:ss.SSSSSS to be aligned with source data file and change to timestamp for all date in target table"/>
    <x v="4"/>
    <x v="6"/>
    <s v="Tee"/>
    <b v="0"/>
    <x v="0"/>
    <b v="0"/>
  </r>
  <r>
    <s v="ud"/>
    <s v="persist_ud.ud_vw_kgroup_sidetexttbl"/>
    <s v="Plan B: Pull DB"/>
    <x v="0"/>
    <d v="2024-03-28T00:00:00"/>
    <s v="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4"/>
    <x v="6"/>
    <s v="Tee"/>
    <b v="0"/>
    <x v="0"/>
    <b v="0"/>
  </r>
  <r>
    <s v="cardlink"/>
    <s v="persist_cardlink.cardlink_kb1dh019_cc1t377"/>
    <s v="Plan B: Source File (EBAN)"/>
    <x v="0"/>
    <m/>
    <s v="[28-Mar] Missing mandatory field in cbr_x000a_[27-Mar] Done"/>
    <s v="Mandatory = O_x000a_btw to check CBR EBAN (source)"/>
    <x v="10"/>
    <x v="1"/>
    <s v="Kaew"/>
    <b v="0"/>
    <x v="0"/>
    <b v="0"/>
  </r>
  <r>
    <s v="ud"/>
    <s v="persist_ud.ud_vw_t_uh_uh_ful"/>
    <s v="Plan B: Pull DB"/>
    <x v="0"/>
    <d v="2024-03-28T00:00:00"/>
    <s v="[25-Mar] INCONSISTENT_BEHAVIOR_CROSS_VERSION.PARSE_DATETIME_BY_NEW_PARSER"/>
    <s v="[29-Mar] CBR + Iinit + spec mapping (Fixed) : Updated date, timestamp format yyyy-MM-dd HH:mm:ss and yyyy-MM-dd HH:mm:ss.SSSSSS to be aligned with source data file and change to timestamp for all date in target table"/>
    <x v="4"/>
    <x v="6"/>
    <s v="Tee"/>
    <b v="0"/>
    <x v="0"/>
    <b v="0"/>
  </r>
  <r>
    <s v="cardlink"/>
    <s v="persist_cardlink.cardlink_kb1dh031_cc1d583b"/>
    <s v="Plan B: Source File (EBAN)"/>
    <x v="0"/>
    <m/>
    <s v="[27-Mar] Source is fixed length file. Config is set to be delimited"/>
    <s v="delimited"/>
    <x v="11"/>
    <x v="1"/>
    <s v="Kaew_x000a_M"/>
    <b v="0"/>
    <x v="0"/>
    <b v="0"/>
  </r>
  <r>
    <s v="scf"/>
    <s v="persist_scf.scf_trading"/>
    <s v="Plan B: Pull DB"/>
    <x v="2"/>
    <d v="2024-03-26T00:00:00"/>
    <s v="Mismatch data layout_x000a_- Data source 73 / CBR spec 66 / KBMF 73_x000a_- To update CBR MDP to be aligned with KBMF 73"/>
    <s v="[29-Mar] Updated CBR as new KBMF from EBAN (KBMF-(460)-SCM_TRADING (1))"/>
    <x v="1"/>
    <x v="5"/>
    <m/>
    <b v="0"/>
    <x v="0"/>
    <b v="0"/>
  </r>
  <r>
    <s v="pcb_dep"/>
    <s v="persist_pcb_dep.pcb_dep_cb2d0005_odencitd_sam"/>
    <s v="Plan B: Source File (EBAN) - fix length"/>
    <x v="1"/>
    <s v="2024-03-26"/>
    <s v="[27-Mar] extra column 'filler' from fixed length mapping_x000a_[28-Mar] To add filler in init raw"/>
    <m/>
    <x v="6"/>
    <x v="5"/>
    <s v="M (Thai encode)"/>
    <b v="1"/>
    <x v="1"/>
    <b v="1"/>
  </r>
  <r>
    <s v="cardlink"/>
    <s v="persist_cardlink.cardlink_kb1dh038_cc1d5012"/>
    <s v="Plan B: Source File (EBAN)"/>
    <x v="0"/>
    <m/>
    <s v="[28-Mar] Missing mandatory field in cbr_x000a_[27-Mar] Done"/>
    <s v="Mandatory = O_x000a_btw to check CBR EBAN (source)"/>
    <x v="10"/>
    <x v="1"/>
    <s v="Kaew"/>
    <b v="0"/>
    <x v="0"/>
    <b v="0"/>
  </r>
  <r>
    <s v="ud"/>
    <s v="persist_ud.ud_vw_flt_div_pmt_inc"/>
    <s v="Plan B: Pull DB"/>
    <x v="0"/>
    <d v="2024-03-28T00:00:00"/>
    <s v="[28-Mar Tee] Schema is already correct, format in ingest spec is not correct yet._x000a_Ex. of Date data: 2024-03-19 00:00:00, Timestamp data: 2024-03-15 01:12:55.605384"/>
    <s v="[29-Mar] CBR + Iinit + spec mapping (Fixed) : Updated date, timestamp format yyyy-MM-dd HH:mm:ss and yyyy-MM-dd HH:mm:ss.SSSSSS to be aligned with source data file and change to timestamp for all date in target table_x000a_Update MDP CBR align from KBMF_x000a_data xx/ KBMF 32 / CBR 32 (sequence is different between CBR and KBMF)_x000a_[27-Mar] Update CBR to align with KBMF source and fixed init, spec"/>
    <x v="1"/>
    <x v="6"/>
    <s v="Tee"/>
    <b v="0"/>
    <x v="0"/>
    <b v="0"/>
  </r>
  <r>
    <s v="cardlink"/>
    <s v="persist_cardlink.cardlink_kb1dh039_ccnd5012"/>
    <s v="Plan B: Source File (EBAN)"/>
    <x v="0"/>
    <m/>
    <s v="[28-Mar] incorrect CBR column name _x000a_dh039_trans_dest_amt and dh039_retrvl_ref_nbr are in the same cell for both source and target_x000a__x000a_[27-Mar] Done"/>
    <m/>
    <x v="1"/>
    <x v="1"/>
    <s v="Kaew"/>
    <b v="0"/>
    <x v="0"/>
    <b v="0"/>
  </r>
  <r>
    <s v="cardlink"/>
    <s v="persist_cardlink.cardlink_kb1dh045_cc1d289g"/>
    <s v="Plan B: Source File (EBAN)"/>
    <x v="0"/>
    <m/>
    <s v="[29-Mar] CBR does not have mandatory flag_x000a__x000a_[28-Mar Tee] ingestion success but pending upsize cluster_x000a_[27-Mar] Control-M set wrong job config path"/>
    <s v="Mandatory = O_x000a_btw to check CBR EBAN (source)"/>
    <x v="12"/>
    <x v="1"/>
    <s v="Kaew"/>
    <b v="0"/>
    <x v="0"/>
    <b v="0"/>
  </r>
  <r>
    <s v="cardlink"/>
    <s v="persist_cardlink.cardlink_lb1dh002_lbcrd"/>
    <s v="Plan B: Source File (DIH)"/>
    <x v="0"/>
    <s v="2024-03-26"/>
    <s v="[28-Mar] Missing mandatory field in cbr_x000a__x000a_[27-Mar] Done "/>
    <s v="Mandatory = O_x000a_btw to check CBR EBAN (source)"/>
    <x v="1"/>
    <x v="1"/>
    <s v="Kaew"/>
    <b v="0"/>
    <x v="0"/>
    <b v="0"/>
  </r>
  <r>
    <s v="cardlink"/>
    <s v="persist_cardlink.cardlink_kb1dh017_cpamt"/>
    <s v="Plan B: Source File (EBAN)"/>
    <x v="0"/>
    <d v="2024-03-27T00:00:00"/>
    <s v="[28-Mar] TS08: Mandatory null_x000a_ ['dh017_cmt_card_nmbr']_x000a__x000a_[27-Mar] UnicodeError_x000a_[28-Mar M] Implement Encoding to job config for ANSI_x000a_[28-Mar Tee] Ingestion success"/>
    <m/>
    <x v="13"/>
    <x v="0"/>
    <s v="P'Fon"/>
    <b v="0"/>
    <x v="0"/>
    <b v="0"/>
  </r>
  <r>
    <s v="cardlink"/>
    <s v="persist_cardlink.cardlink_kb1dh018_cpsrptt"/>
    <s v="Plan B: Source File (EBAN)"/>
    <x v="0"/>
    <m/>
    <s v="[1-Apr Tee] multiple encoding char for multiple files_x000a__x000a_[27-Mar] UnicodeError"/>
    <m/>
    <x v="5"/>
    <x v="8"/>
    <s v="M"/>
    <b v="0"/>
    <x v="0"/>
    <b v="0"/>
  </r>
  <r>
    <s v="dgtl_fctrng"/>
    <s v="persist_dgtl_fctrng.dgtl_fctrng_v_company"/>
    <s v="Plan B: Pull DB"/>
    <x v="0"/>
    <d v="2024-03-21T00:00:00"/>
    <s v="Mismatch data layout_x000a_- Data source 85 | CBR EBAN 65| KBMF 78 (field in KBMF mostly not match with data source)_x000a_&gt;&gt; agreed to align with EBAN CBR 65 fields (diff 20 fields)_x000a__x000a_Data source schema mismatches with the target table, missing the columns (data file not have): shortname, regaddr1, regaddr2, regaddr3, regzip, contactaddr1, contactaddr2, contactaddr3, contactzip, taxaddr1, taxaddr2, taxaddr3, taxzip, tel, fax, email, website, officer1, telo1, officer2, telo2, taxid, regid, regdate, regcap, paidcap, mbankcode, mbankname, mbranchcode, mbranchname, macctno, macctname, bankcode, bankname, branchcode, branchname, acctno, acctname, rbankcode, rbankname, rbranchcode, rbranchname, racctno, racctname, product, marketing, controllimit, agrno, agrdate, admissionfee, interestcode, interestspread, minfee, penalty, penaltyrate, repaymentday, recourse"/>
    <s v="[28-Mar] EBAN team to recheck CBR file (เนื่องจาก column ต่างกันเยอะเกินไป)_x000a_[28-Mar] _x000a_Updated CBR MDP to align with CBR EBAN = 65_x000a_Pending to confirm_x000a_1. อิงตาม CBR ไม่มี date format ให้อ้างอิง =&gt; สามารถอิงจาก datafile ได้ไหม_x000a_2. มี field ใน CBR - 2 field อยู่รวมกันเช่น ApproveDate ApproveTime =&gt;  ถ้าแยกคอลัมน์จะไม่ทราบ datasize/datatype สามารถอิงจาก datafile ได้ไหม_x000a__x000a_[22-Mar]  EBAN team confirmed to align table structure by CBR EBAN 65 fields (diff with data 20 fields)"/>
    <x v="1"/>
    <x v="9"/>
    <s v="Kaew"/>
    <b v="0"/>
    <x v="0"/>
    <b v="0"/>
  </r>
  <r>
    <s v="fxb"/>
    <s v="persist_fxb.fxb_midrate_kbank"/>
    <s v="Plan B: Source File (DIH)"/>
    <x v="0"/>
    <s v="2024-03-13_x000a_2024-03-14"/>
    <s v="[29-Mar Tee] Rerun job success with PKs and remove upd_tms from raw_x000a_[28 Mar -M] - Fixed config update PK List to Job config_x000a__x000a_[27Mar] incremental file failed with no primary key_x000a__x000a_[26 Mar]_x000a_rerun with incremental = initial _x000a_error Control File Record Count 232 is not equal to spark dataframe record count 229_x000a_[25 Mar - warm] - to rerun wiht incremental = initial ( also lpm_as400)_x000a_DependencyCheckError: Failed dependency checking: The job is not ready due to failures in prerequisite jobs.  ingest_fxb_midrate_kbank_d - 2024-03-12_x000a__x000a_(Delta) Initial file 232 records_x000a_"/>
    <s v="[1 April] _x000a_Due to the columns 'record_type', 'filler_1', 'filler_2' will stored and present only in raw_x000a_Test result : TS03 will be failed_x000a__x000a_[27 Mar] source confirmed to Updated primary key fields &quot;underlying currency&quot;, &quot;base currency&quot;"/>
    <x v="14"/>
    <x v="6"/>
    <s v="Tee"/>
    <b v="0"/>
    <x v="0"/>
    <b v="0"/>
  </r>
  <r>
    <s v="lec"/>
    <s v="persist_lec.lec_lecp_lec3d18"/>
    <s v="Plan B: Source File (EBAN)"/>
    <x v="1"/>
    <d v="2020-03-20T00:00:00"/>
    <s v="[28-Mar Tee] ingestion success_x000a__x000a_-fw log control file count = None_x000a_-CBR have filler column_x000a_-Data no filler_x000a_-Raw no filler column_x000a_[28-Mar - M] Updated fixed_length_mapping "/>
    <m/>
    <x v="6"/>
    <x v="5"/>
    <m/>
    <b v="1"/>
    <x v="1"/>
    <b v="1"/>
  </r>
  <r>
    <s v="ud"/>
    <s v="persist_ud.ud_ka_fundcode"/>
    <s v="Plan B: Source File (EBAN)"/>
    <x v="0"/>
    <d v="2024-03-28T00:00:00"/>
    <s v="[28-Mar Tee] raw DDL column name should be same as source column name when source header column flag is &quot;Y&quot;, ingestion spec also; =&gt; Pending to confirm with source (rectype and rcrd_tp)_x000a__x000a_[27-Mar] Extraction config and ingestion config are not correct. Date is specified in filename. Should be KA_FundCode_YYYYMMDD.txt_x000a__x000a_[29-Mar M] Update diffrent filter columns (transform_to_raw_task) now "/>
    <m/>
    <x v="8"/>
    <x v="6"/>
    <s v="Tee"/>
    <b v="0"/>
    <x v="0"/>
    <b v="0"/>
  </r>
  <r>
    <s v="ud"/>
    <s v="persist_ud.ud_privatefund_balance"/>
    <s v="Plan B: Source File (EBAN)"/>
    <x v="0"/>
    <d v="2024-03-28T00:00:00"/>
    <s v="[28-Mar Tee] Data file does not have header column flag, but header is specified =&gt; CBR Fixed_x000a__x000a_[27-Mar] Extraction config and ingestion config are not correct. Date is specified in filename. Should be PrivateFund_Balance_YYYYMMDD.txt_x000a__x000a_[28-Mar] Update file name both extraction config , job config_x000a__x000a_[29-Mar M] Update columns name flag to False (N)"/>
    <m/>
    <x v="8"/>
    <x v="6"/>
    <s v="Tee"/>
    <b v="0"/>
    <x v="0"/>
    <b v="0"/>
  </r>
  <r>
    <s v="cardlink"/>
    <s v="persist_cardlink.cardlink_kb1dh037_cpccpf_p"/>
    <s v="Plan B: Source File (EBAN)"/>
    <x v="0"/>
    <m/>
    <s v="File does not exist for transferred"/>
    <m/>
    <x v="0"/>
    <x v="0"/>
    <s v="P'Fon"/>
    <b v="0"/>
    <x v="0"/>
    <b v="0"/>
  </r>
  <r>
    <s v="cardlink"/>
    <s v="persist_cardlink.cardlink_kb1dh001_cp1t170_01"/>
    <s v="Plan B: Source File (DIH)"/>
    <x v="0"/>
    <m/>
    <s v="Changed to KAS layout"/>
    <m/>
    <x v="15"/>
    <x v="10"/>
    <m/>
    <b v="0"/>
    <x v="1"/>
    <b v="0"/>
  </r>
  <r>
    <s v="cardlink"/>
    <s v="persist_cardlink.cardlink_kb1dh032_addtype"/>
    <s v="Plan B: Source File (DIH)"/>
    <x v="0"/>
    <m/>
    <s v="Changed to KAS layout"/>
    <m/>
    <x v="15"/>
    <x v="10"/>
    <m/>
    <b v="0"/>
    <x v="1"/>
    <b v="0"/>
  </r>
  <r>
    <s v="cardlink"/>
    <s v="persist_cardlink.cardlink_la10s_oatkn"/>
    <s v="Plan B: Source File (EBAN)"/>
    <x v="0"/>
    <m/>
    <s v="Changed to KAS layout"/>
    <m/>
    <x v="15"/>
    <x v="10"/>
    <m/>
    <b v="0"/>
    <x v="1"/>
    <b v="0"/>
  </r>
  <r>
    <s v="cardlink"/>
    <s v="persist_cardlink.cardlink_kb1dh037_cptcpf_p"/>
    <s v="Plan B: Source File (EBAN)"/>
    <x v="0"/>
    <m/>
    <s v="File does not exist for transferred"/>
    <m/>
    <x v="0"/>
    <x v="0"/>
    <s v="P'Fon"/>
    <b v="0"/>
    <x v="0"/>
    <b v="0"/>
  </r>
  <r>
    <s v="gts"/>
    <s v="persist_gts.gts_kbgt_cont_outstanding"/>
    <s v="Plan B: Source File (EBAN)"/>
    <x v="3"/>
    <s v="2024-03-27"/>
    <s v="[29-Mar Tee] Detecting extra columns ['_c157', '_c158'] in source dataframe compared to target database mdpuat.raw_gts.gts_kbgt_cont_outstanding_x000a__x000a_[28-Mar Tee] orig_admn_rate is missing from ingestion spec =&gt; Fixed_x000a__x000a_Mismatch data layout (data file no header)_x000a_Data source 159 /CBR EBAN 157 / KBMF 163_x000a_&gt;&gt; check column EBAN prod (156) diff 'header3'"/>
    <s v="[1-April]_x000a_To check updated KBMF (159 fields)_x000a_'SRC_SYSTEM' _x000a__x000a_[25-Mar] EBAN team confirmed to align spec from CBR 157 fields ('header3' &gt;&gt; rec_type)"/>
    <x v="1"/>
    <x v="9"/>
    <s v="Kaew"/>
    <b v="0"/>
    <x v="0"/>
    <b v="0"/>
  </r>
  <r>
    <s v="cardlink"/>
    <s v="persist_cardlink.cardlink_kb1dh028_ccixpt"/>
    <s v="Plan B: Source File (EBAN)"/>
    <x v="0"/>
    <m/>
    <s v="Changed to KAS layout"/>
    <m/>
    <x v="15"/>
    <x v="10"/>
    <m/>
    <b v="0"/>
    <x v="1"/>
    <b v="0"/>
  </r>
  <r>
    <s v="cardlink"/>
    <s v="persist_cardlink.cardlink_kb1dh029_ccatabla"/>
    <s v="Plan B: Source File (EBAN)"/>
    <x v="0"/>
    <m/>
    <s v="Changed to KAS layout"/>
    <m/>
    <x v="15"/>
    <x v="10"/>
    <m/>
    <b v="0"/>
    <x v="1"/>
    <b v="0"/>
  </r>
  <r>
    <s v="cardlink"/>
    <s v="persist_cardlink.cardlink_kb1dh030_cuptran"/>
    <s v="Plan B: Source File (EBAN)"/>
    <x v="0"/>
    <m/>
    <s v="Changed to KAS layout"/>
    <m/>
    <x v="15"/>
    <x v="10"/>
    <m/>
    <b v="0"/>
    <x v="1"/>
    <b v="0"/>
  </r>
  <r>
    <s v="cardlink"/>
    <s v="persist_cardlink.cardlink_kb1dh012_cpcah"/>
    <s v="Plan B: Source File (EBAN)"/>
    <x v="0"/>
    <m/>
    <s v="Changed to KAS layout"/>
    <m/>
    <x v="15"/>
    <x v="10"/>
    <m/>
    <b v="0"/>
    <x v="1"/>
    <b v="0"/>
  </r>
  <r>
    <s v="cardlink"/>
    <s v="persist_cardlink.cardlink_kb1dh020_cc1d582d"/>
    <s v="Plan B: Source File (EBAN)"/>
    <x v="0"/>
    <m/>
    <s v="Changed to KAS layout"/>
    <m/>
    <x v="15"/>
    <x v="10"/>
    <m/>
    <b v="0"/>
    <x v="1"/>
    <b v="0"/>
  </r>
  <r>
    <s v="cardlink"/>
    <s v="persist_cardlink.cardlink_kb1dh021_cc1d582s"/>
    <s v="Plan B: Source File (EBAN)"/>
    <x v="0"/>
    <m/>
    <s v="Changed to KAS layout"/>
    <m/>
    <x v="15"/>
    <x v="10"/>
    <m/>
    <b v="0"/>
    <x v="1"/>
    <b v="0"/>
  </r>
  <r>
    <s v="cardlink"/>
    <s v="persist_cardlink.cardlink_kb1dh022_oadcc32"/>
    <s v="Plan B: Source File (EBAN)"/>
    <x v="0"/>
    <m/>
    <s v="Changed to KAS layout"/>
    <m/>
    <x v="15"/>
    <x v="10"/>
    <m/>
    <b v="0"/>
    <x v="1"/>
    <b v="0"/>
  </r>
  <r>
    <s v="cardlink"/>
    <s v="persist_cardlink.cardlink_kb1dh024_cc1d560"/>
    <s v="Plan B: Source File (EBAN)"/>
    <x v="0"/>
    <m/>
    <s v="Changed to KAS layout"/>
    <m/>
    <x v="15"/>
    <x v="10"/>
    <m/>
    <b v="0"/>
    <x v="1"/>
    <b v="0"/>
  </r>
  <r>
    <s v="cardlink"/>
    <s v="persist_cardlink.cardlink_kb1dh025_cpcah"/>
    <s v="Plan B: Source File (EBAN)"/>
    <x v="0"/>
    <m/>
    <s v="[28-Mar Tee] Need upsize cluster again"/>
    <s v="[1 Apr] Fatal error: The Python kernel is unresponsive in Test Notebook"/>
    <x v="16"/>
    <x v="6"/>
    <s v="Tee"/>
    <b v="0"/>
    <x v="0"/>
    <b v="0"/>
  </r>
  <r>
    <s v="dgtl_fctrng"/>
    <s v="persist_dgtl_fctrng.dgtl_fctrng_v_clientdebtor"/>
    <s v="Plan B: Pull DB"/>
    <x v="0"/>
    <d v="2024-03-21T00:00:00"/>
    <s v="[1 April]  TS05, TS11 failed_x000a__x000a_[27-Mar] Control file is correct, need to find way to read source"/>
    <m/>
    <x v="8"/>
    <x v="6"/>
    <s v="Tee"/>
    <b v="0"/>
    <x v="0"/>
    <b v="0"/>
  </r>
  <r>
    <s v="kplus"/>
    <s v="persist_kplus.kplus_view_jmobileacctcard_log"/>
    <s v="Plan B: EBAN Extraction File (Push)"/>
    <x v="0"/>
    <d v="2024-03-12T00:00:00"/>
    <s v="[1-April] _x000a_EBAN confirmed that on EBAN production didn't have null value for fields ''relateacctcard' and 'mobileno'_x000a_Test result : TS08 will be failed_x000a__x000a_[28-Mar] _x000a_EBAN confirmed that on EBAN production didn't have null value for 'mobileno'_x000a__x000a_TS08: Mandatory null_x000a_ ['relateacctcard', 'mobileno']"/>
    <s v="Pending : relateacctcard (AR_ID EBAN set null) // _x000a_Action: Data source sent with encrypt then CBR to update spec"/>
    <x v="17"/>
    <x v="11"/>
    <s v="Keaw"/>
    <b v="0"/>
    <x v="0"/>
    <b v="0"/>
  </r>
  <r>
    <s v="scf"/>
    <s v="persist_scf.scf_vw_cm_fee_structure"/>
    <s v="Plan B: Pull DB"/>
    <x v="3"/>
    <d v="2024-03-20T00:00:00"/>
    <s v="[28-Mar]_x000a_TS03, 04, 12 Failed_x000a__x000a_To Update CBR field INTPERIODDAYS =&gt; decimal(3,0) to smallint(3)_x000a_TBD Spec with EBAN_x000a_TS03: num col mismatch _x000a_- data source(47) / KBMF (37) / CBR EBAN (37)_x000a_['strstep', 'strchargefeedate', 'strremark', 'strfeecodebahtnet', 'decfeeamtsbahtnet', 'decfeeamtdbahtnet', 'strchargefeeforbahtnet', 'strfeetypebahtnet', 'strefftdatebahtnet', 'stractiveflagbahtnet'] _x000a_TS04: col name mismatch"/>
    <s v="[27-Mar] KBMF source and CBR EBAN are in the same layout_x000a__x000a_[21-Mar] EBAN Team agreed to align table structure by CBR EBAN (diff with data 10 fields)"/>
    <x v="1"/>
    <x v="7"/>
    <s v="M"/>
    <b v="0"/>
    <x v="0"/>
    <b v="0"/>
  </r>
  <r>
    <s v="ud"/>
    <s v="persist_ud.ud_vw_transactionext"/>
    <s v="Plan B: Pull DB"/>
    <x v="0"/>
    <d v="2024-03-28T00:00:00"/>
    <s v="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4"/>
    <x v="6"/>
    <s v="Tee"/>
    <b v="0"/>
    <x v="0"/>
    <b v="0"/>
  </r>
  <r>
    <s v="ud"/>
    <s v="persist_ud.ud_vw_transactioneodext"/>
    <s v="Plan B: Pull DB"/>
    <x v="0"/>
    <d v="2024-03-28T00:00:00"/>
    <s v="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4"/>
    <x v="6"/>
    <s v="Tee"/>
    <b v="0"/>
    <x v="0"/>
    <b v="0"/>
  </r>
  <r>
    <s v="cardlink"/>
    <s v="persist_cardlink.cardlink_kb1dh023_lbpttrn"/>
    <s v="Plan B: Source File (EBAN)"/>
    <x v="1"/>
    <m/>
    <s v="[27-Mar] Done"/>
    <m/>
    <x v="6"/>
    <x v="5"/>
    <m/>
    <b v="1"/>
    <x v="1"/>
    <b v="1"/>
  </r>
  <r>
    <s v="scf"/>
    <s v="persist_scf.scf_vw_sct_book_loan"/>
    <s v="Plan B: Pull DB"/>
    <x v="0"/>
    <m/>
    <s v="[29-Mar] incorrect date format in cbr ['dtecreatedate', 'dteupddate'] =&gt; Pending EBAN to confirm on date format_x000a_dtecreatedate from yyyy-MM-dd HH:mm:ss.sss -&gt; yyyy-MM-dd HH:mm:ss.SSSSSS_x000a_dteupddate inconsistent date format -  yyyy-MM-dd HH:mm:ss.SSSSSS,  yyyy-MM-dd HH:mm:ss =&gt; To align with data file_x000a__x000a__x000a_[28-Mar Tee] Ingestion Success_x000a__x000a_Mismatch data layout_x000a_- Data source 96 / CBR spec 66 / KBMF 56 "/>
    <s v="[1-Apr] EBAN team confirmed to use_x000a_- 'dteupdate', 'dtecreatedate' = yyyy-MM-dd HH:mm:ss.SSSSSS_x000a_[29Mar] _x000a_'dteupddate' data ส่งมา 2 format มีทั้ง yyyy-MM-dd HH:mm:ss และ yyyy-MM-dd HH:mm:ss.SSSSSS_x000a_จาก spec จะเป็น format yyyy-MM-dd HH:mm:ss.SSS _x000a__x000a_[28-Mar Saranchai S.] Completed Revise 96 fields_x000a__x000a_"/>
    <x v="1"/>
    <x v="12"/>
    <s v="Kaew"/>
    <b v="0"/>
    <x v="0"/>
    <b v="0"/>
  </r>
  <r>
    <s v="ud"/>
    <s v="persist_ud.ud_vw_fi_fnd_inf_ful"/>
    <s v="Plan B: Pull DB"/>
    <x v="0"/>
    <d v="2024-03-28T00:00:00"/>
    <s v="[29-Mar Tee] Detecting extra columns ['min_bal_amount'] in source dataframe compared to target database mdpuat.raw_ud.ud_vw_fi_fnd_inf_ful_x000a_Data source 64 | CBR 63 |KBMF 64 |_x000a_Diff 1 fields (&lt;min_bal_amount&gt;)_x000a__x000a_[25-Mar] INCONSISTENT_BEHAVIOR_CROSS_VERSION.PARSE_DATETIME_BY_NEW_PARSER_x000a_[21-Mar] src_pos_dt =&gt; Fixed"/>
    <s v="[29-Mar] CBR + Iinit + spec mapping (Fixed) : Updated date, timestamp format yyyy-MM-dd HH:mm:ss and yyyy-MM-dd HH:mm:ss.SSSSSS to be aligned with source data file and change to timestamp for all date in target table"/>
    <x v="4"/>
    <x v="1"/>
    <s v="Kaew"/>
    <b v="0"/>
    <x v="0"/>
    <b v="0"/>
  </r>
  <r>
    <s v="ks"/>
    <s v="persist_ks.ks_fundmaster"/>
    <s v="Plan B: Source File (EBAN)"/>
    <x v="1"/>
    <d v="2023-12-08T00:00:00"/>
    <s v="[29-Mar]_x000a_TS04: column name change src_pos_dt"/>
    <s v="Due to the column name change from as_of_dt to src_pos_dt_x000a_Test result : TS04 will be failed"/>
    <x v="6"/>
    <x v="5"/>
    <m/>
    <b v="1"/>
    <x v="1"/>
    <b v="1"/>
  </r>
  <r>
    <s v="ks"/>
    <s v="persist_ks.ks_custprofile"/>
    <s v="Plan B: Source File (EBAN)"/>
    <x v="2"/>
    <d v="2023-12-08T00:00:00"/>
    <s v="[1-April]_x000a_- Due to the column name change from 'as_of_d't to 'src_pos_dt'_x000a_Test result : TS04 will be failed_x000a_- EBAN confirmed that on EBAN production didn't have null value for field 'card_id'_x000a_Test result : TS08 will be failed_x000a__x000a_[29-Mar]_x000a_TS04: column name change src_pos_dt_x000a__x000a_TS:08 Mandatory null_x000a_['card_id']_x000a__x000a_[27-Mar] Source timestamp data sent milliseconds, but timestamp format is yyyy-MM-dd HH:mm:ss. Using  yyyy-MM-dd HH:mm:ss.SSSSSS instead_x000a_ref - INGT_SIT_0074_x000a_https://kasikornbankgroup.sharepoint.com/:x:/s/DocumentRepository/Data%20-%20Analytics/EVNQm3Jxo0xBlN_XYjolql0Bsq4FIiqlOg11xdBTKDqPqQ?e=BCxCeG"/>
    <s v="[28-Mar] EBAN confirmed to align date format with datafile yyyy-MM-dd HH:mm:ss.SSSSSS"/>
    <x v="6"/>
    <x v="5"/>
    <m/>
    <b v="1"/>
    <x v="1"/>
    <b v="0"/>
  </r>
  <r>
    <s v="pcb_loan"/>
    <s v="persist_pcb_loan.pcb_loan_common_account_info"/>
    <s v="Plan B: Source File (EBAN)"/>
    <x v="0"/>
    <s v="2024-03-20"/>
    <s v="[28-Mar] TS08: Mandatory null_x000a_['coa_rspl_cntr_pnp', 'coa_fnc_pnp', 'ac_adr1', 'tfr_br', 'resch_flg', 'ren_code']_x000a__x000a_[27-Mar] Ingestion success_x000a__x000a_1. Mismatch data layout (no header column)_x000a_- Data source 162/ CBR EBAN Spec 161 / KBMF 162_x000a__x000a_2. Mandatory null _x000a_['coa_rspl_cntr_pnp', 'coa_fnc_pnp', 'ac_adr1', 'tfr_br', 'resch_flg', 'ren_code']_x000a__x000a_[27-Mar] Ingestion success"/>
    <s v="[27-Mar] Updated CBR to align with KBMF source and fixed init raw_x000a__x000a_[26-Mar] Align with KBMF source (added filler to the last column)"/>
    <x v="18"/>
    <x v="13"/>
    <s v="M (Thai encode)"/>
    <b v="0"/>
    <x v="0"/>
    <b v="0"/>
  </r>
  <r>
    <s v="kplus"/>
    <s v="persist_kplus.kplus_view_jmobile_log"/>
    <s v="Plan B: EBAN Extraction File (Push)"/>
    <x v="1"/>
    <s v="2024-03-25"/>
    <s v="TS04: source send col name with encrypt_x000a_TS05: tinyint -&gt; tinyint?_x000a__x000a_ValueError: Data source schema mismatches with the target table, missing the columns: registeredcardno_x000a__x000a_[28-Mar] Rerun success"/>
    <s v="[28-Mar] _x000a_Revised datatype from tinyint to smallint in Target table"/>
    <x v="6"/>
    <x v="5"/>
    <m/>
    <b v="1"/>
    <x v="1"/>
    <b v="1"/>
  </r>
  <r>
    <s v="cardlink_acq"/>
    <s v="persist_cardlink_acq.cardlink_acq_ci1d1166_crdhd"/>
    <s v="Plan B: Source File (DIH)"/>
    <x v="1"/>
    <d v="2024-03-26T00:00:00"/>
    <s v="TS08 Mandatory null_x000a_['issuedate', 'firstyearfee']_x000a__x000a_[28-Mar] EBAN confirmed that on EBAN production have null value for fields 'issuedate'_x000a_Test result : TS08 will be failed"/>
    <m/>
    <x v="6"/>
    <x v="5"/>
    <m/>
    <b v="1"/>
    <x v="1"/>
    <b v="1"/>
  </r>
  <r>
    <s v="cardlink_acq"/>
    <s v="persist_cardlink_acq.cardlink_acq_ci1d1178_crdreg"/>
    <s v="Plan B: Source File (EBAN)"/>
    <x v="3"/>
    <d v="2024-03-20T00:00:00"/>
    <s v="TS08 Mandatory null_x000a_['issuedate', 'firstyearfee']"/>
    <m/>
    <x v="9"/>
    <x v="13"/>
    <s v="M"/>
    <b v="0"/>
    <x v="0"/>
    <b v="0"/>
  </r>
  <r>
    <s v="cardlink_acq"/>
    <s v="persist_cardlink_acq.cardlink_acq_ci1d1167_cardtype"/>
    <s v="Plan B: Source File (DIH)"/>
    <x v="1"/>
    <s v="2024-03-20"/>
    <m/>
    <m/>
    <x v="6"/>
    <x v="5"/>
    <m/>
    <b v="0"/>
    <x v="1"/>
    <b v="1"/>
  </r>
  <r>
    <s v="dgtl_fctrng"/>
    <s v="persist_dgtl_fctrng.dgtl_fctrng_fact_acct"/>
    <s v="Plan B: Source File (EBAN)"/>
    <x v="0"/>
    <d v="2019-04-25T00:00:00"/>
    <s v="[1-April] _x000a_- To enhance TS05 : number(10) &gt;&gt; expected_result bigint_x000a_- To enhance TS11: sum record_x000a_- EBAN confirmed that on EBAN production have null value for fields 'last_int_pymt_dt', 'last_pnp_pymt_dt', 'nxt_int_pymt_dt'_x000a_Test result : TS08 will be failed_x000a__x000a_[26 Mar] _x000a_TS08 Mandatory null_x000a_['last_int_pymt_dt', 'last_pnp_pymt_dt', 'nxt_int_pymt_dt']_x000a__x000a_[Fixed] INGT_SIT_0062: A column or function parameter with name `dpd-prin` cannot be resolved"/>
    <m/>
    <x v="9"/>
    <x v="6"/>
    <s v="Tee"/>
    <b v="0"/>
    <x v="0"/>
    <b v="0"/>
  </r>
  <r>
    <s v="dgtl_fctrng"/>
    <s v="persist_dgtl_fctrng.dgtl_fctrng_v_purref"/>
    <s v="Plan B: Pull DB"/>
    <x v="1"/>
    <s v="2024-03-20"/>
    <m/>
    <m/>
    <x v="6"/>
    <x v="5"/>
    <m/>
    <b v="0"/>
    <x v="1"/>
    <b v="1"/>
  </r>
  <r>
    <s v="dgtl_fctrng"/>
    <s v="persist_dgtl_fctrng.dgtl_fctrng_v_product"/>
    <s v="Plan B: Pull DB"/>
    <x v="1"/>
    <s v="2024-03-20"/>
    <m/>
    <m/>
    <x v="6"/>
    <x v="5"/>
    <m/>
    <b v="0"/>
    <x v="1"/>
    <b v="1"/>
  </r>
  <r>
    <s v="dgtl_fctrng"/>
    <s v="persist_dgtl_fctrng.dgtl_fctrng_v_clientlimit"/>
    <s v="Plan B: Pull DB"/>
    <x v="1"/>
    <s v="2024-03-20"/>
    <s v="Primary Key Duplicate_x000a_['orgcode', 'clientcode', 'startdate', 'seq']_x000a_[25-Mar] Source confirmed add PK for 'limittype'"/>
    <s v="[25-Mar] Source confirmed add PK for 'limittype'"/>
    <x v="6"/>
    <x v="5"/>
    <m/>
    <b v="0"/>
    <x v="1"/>
    <b v="1"/>
  </r>
  <r>
    <s v="dgtl_fctrng"/>
    <s v="persist_dgtl_fctrng.dgtl_fctrng_v_cis"/>
    <s v="Plan B: Pull DB"/>
    <x v="1"/>
    <s v="2024-03-20"/>
    <m/>
    <m/>
    <x v="6"/>
    <x v="5"/>
    <m/>
    <b v="0"/>
    <x v="1"/>
    <b v="1"/>
  </r>
  <r>
    <s v="dgtl_fctrng"/>
    <s v="persist_dgtl_fctrng.dgtl_fctrng_v_interestspread"/>
    <s v="Plan B: Pull DB"/>
    <x v="1"/>
    <s v="2024-03-20"/>
    <s v="float column display 0.00 in test vs 0 in sql_x000a_"/>
    <m/>
    <x v="6"/>
    <x v="5"/>
    <m/>
    <b v="0"/>
    <x v="1"/>
    <b v="1"/>
  </r>
  <r>
    <s v="fcd"/>
    <s v="persist_fcd.fcd_ar"/>
    <s v="Plan B: Source File (EBAN)"/>
    <x v="1"/>
    <d v="2024-03-20T00:00:00"/>
    <s v="[27 Mar] TS05  _x000a_datatype  9(11)V9(5) แปลงเป็นdecimal16,2 หรือ decimal 16,5 - fixed_x000a__x000a_Data source 68 / CBR 67 / KBMF 68_x000a_TS03: count col mismatch_x000a_TS04: col name mismatch_x000a_TS12: thai encoder - from source"/>
    <s v="[27-Mar] Updated CBR to decimal 16,5 and fixed init, spec_x000a_[25-Mar] EBAN confirmed to align spec from KBMF 68 fields"/>
    <x v="5"/>
    <x v="5"/>
    <m/>
    <b v="1"/>
    <x v="1"/>
    <b v="1"/>
  </r>
  <r>
    <s v="gts"/>
    <s v="persist_gts.gts_kbgt_limit"/>
    <s v="Plan B: Source File (EBAN)"/>
    <x v="1"/>
    <d v="2024-03-19T00:00:00"/>
    <s v="TS08:Mandatory null ['facility_description', 'approverid', 'makerid']_x000a__x000a_[25-Mar] EBAN confirmed that on prodution don't have null value for all field "/>
    <m/>
    <x v="6"/>
    <x v="5"/>
    <m/>
    <b v="0"/>
    <x v="1"/>
    <b v="1"/>
  </r>
  <r>
    <s v="gts"/>
    <s v="persist_gts.gts_dbtl4xl6"/>
    <s v="Plan B: Source File (EBAN)"/>
    <x v="1"/>
    <s v="2024-03-20"/>
    <m/>
    <m/>
    <x v="6"/>
    <x v="5"/>
    <m/>
    <b v="0"/>
    <x v="1"/>
    <b v="1"/>
  </r>
  <r>
    <s v="hris"/>
    <s v="persist_hris.hris_staff_accnt_vw"/>
    <s v="Plan B: Source File (EBAN)"/>
    <x v="1"/>
    <s v="2024-03-26"/>
    <s v="[27-Mar] AssertionError: Control File Record Count 20789 is not equal to spark dataframe record count 20788_x000a__x000a_[26 Mar] extraction error_x000a_แก้ extraction config , job config, CBR จาก _x000a_hris_staff_accnt_vw_YYYYMMDD.txt_x000a_ _x000a_เป็น_x000a_extraction config : HRIS_STAFF_ACCNT_{{ptn_yyyy}}{{ptn_mm}}{{ptn_dd}}.* _x000a_CBR:  HRIS_STAFF_ACCNT_YYYYMMDD.txt _x000a__x000a_[27Mar] _x000a_-Fixed both extraction and job config about name _x000a_extraction config : HRIS_STAFF_ACCNT_{{ptn_yyyy}}{{ptn_mm}}{{ptn_dd}}.* _x000a_CBR:  HRIS_STAFF_ACCNT_YYYYMMDD.txt _x000a__x000a_- Fixed Columns name flag Y -&gt;&gt; N"/>
    <s v="[26 Mar] CBR updated Column Name Flag from &quot;Y&quot; to &quot;N&quot;  to_x000a_CBR_Ingestion_hris_staff_accnt_vw_v02_00_00"/>
    <x v="6"/>
    <x v="5"/>
    <m/>
    <b v="1"/>
    <x v="1"/>
    <b v="1"/>
  </r>
  <r>
    <s v="kplus"/>
    <s v="persist_kplus.kplus_view_balancealertreglog_log"/>
    <s v="Plan B: EBAN Extraction File (Push)"/>
    <x v="1"/>
    <d v="2018-08-06T00:00:00"/>
    <m/>
    <m/>
    <x v="6"/>
    <x v="5"/>
    <m/>
    <b v="0"/>
    <x v="1"/>
    <b v="1"/>
  </r>
  <r>
    <s v="kplus"/>
    <s v="persist_kplus.kplus_jmobiletranloghd"/>
    <s v="Plan B: EBAN Extraction File (Push)"/>
    <x v="3"/>
    <d v="2024-03-25T00:00:00"/>
    <s v="[2 Apr]_x000a_Spec format : yyyy-MM-dd HH:mm:ss.SSS_x000a_Data source:_x000a_- datetime :  yyyy-MM-dd HH:mm:ss_x000a_- duedate  : yyyy-MM-dd HH:mm:ss and 'NULL' value_x000a__x000a_field: datetime, duedate ที่ persist view แสดงเป็น 1400-01-01 00:00:00.000"/>
    <m/>
    <x v="4"/>
    <x v="0"/>
    <s v="P'Fon"/>
    <b v="0"/>
    <x v="0"/>
    <b v="0"/>
  </r>
  <r>
    <s v="kplus"/>
    <s v="persist_kplus.kplus_view_simbankbankinfo_log"/>
    <s v="Plan B: EBAN Extraction File (Push)"/>
    <x v="1"/>
    <d v="2024-03-10T00:00:00"/>
    <s v="SUCCESS - 2024-03-10"/>
    <m/>
    <x v="6"/>
    <x v="5"/>
    <m/>
    <b v="0"/>
    <x v="1"/>
    <b v="1"/>
  </r>
  <r>
    <s v="lpm_wrtoff"/>
    <s v="persist_lpm_wrtoff.lpm_wrtoff_pscp_wo_wo1d04h_sam"/>
    <s v="Plan B: Source File (EBAN)"/>
    <x v="0"/>
    <m/>
    <s v="Pending enhance file .SAM"/>
    <m/>
    <x v="5"/>
    <x v="6"/>
    <s v="Tee"/>
    <b v="0"/>
    <x v="1"/>
    <b v="0"/>
  </r>
  <r>
    <s v="mx"/>
    <s v="persist_mx.mx_mktevent"/>
    <s v="Plan B: Source File (EBAN)"/>
    <x v="1"/>
    <d v="2024-01-23T00:00:00"/>
    <m/>
    <m/>
    <x v="6"/>
    <x v="5"/>
    <m/>
    <b v="0"/>
    <x v="1"/>
    <b v="1"/>
  </r>
  <r>
    <s v="mx"/>
    <s v="persist_mx.mx_mmlivemat"/>
    <s v="Plan B: Source File (EBAN)"/>
    <x v="1"/>
    <s v="2024-03-21"/>
    <s v="prinamt - inconsistant floating point ( decimal type)_x000a_Source 42/ spec 41 (data file no header) _x000a_&gt;&gt; Add field 'ctpy_full_name' =&gt; Fixed"/>
    <m/>
    <x v="6"/>
    <x v="5"/>
    <m/>
    <b v="0"/>
    <x v="1"/>
    <b v="1"/>
  </r>
  <r>
    <s v="mx"/>
    <s v="persist_mx.mx_report_limit_ctp_funded_forint"/>
    <s v="Plan B: Source File (EBAN)"/>
    <x v="1"/>
    <d v="2024-03-19T00:00:00"/>
    <m/>
    <m/>
    <x v="6"/>
    <x v="5"/>
    <m/>
    <b v="0"/>
    <x v="1"/>
    <b v="1"/>
  </r>
  <r>
    <s v="mx"/>
    <s v="persist_mx.mx_report_limit_pse_forint"/>
    <s v="Plan B: Source File (EBAN)"/>
    <x v="1"/>
    <d v="2024-03-19T00:00:00"/>
    <m/>
    <m/>
    <x v="6"/>
    <x v="5"/>
    <m/>
    <b v="0"/>
    <x v="1"/>
    <b v="1"/>
  </r>
  <r>
    <s v="mx"/>
    <s v="persist_mx.mx_report_limit_se_forint"/>
    <s v="Plan B: Source File (EBAN)"/>
    <x v="1"/>
    <d v="2024-03-19T00:00:00"/>
    <m/>
    <m/>
    <x v="6"/>
    <x v="5"/>
    <m/>
    <b v="0"/>
    <x v="1"/>
    <b v="1"/>
  </r>
  <r>
    <s v="mx"/>
    <s v="persist_mx.mx_reset_lp_ctp_funded_forint"/>
    <s v="Plan B: Source File (EBAN)"/>
    <x v="1"/>
    <d v="2024-03-19T00:00:00"/>
    <s v="Mandatory null_x000a_['counterparty_staus']"/>
    <m/>
    <x v="6"/>
    <x v="5"/>
    <m/>
    <b v="0"/>
    <x v="1"/>
    <b v="1"/>
  </r>
  <r>
    <s v="mx"/>
    <s v="persist_mx.mx_reset_mplcde_forint"/>
    <s v="Plan B: Source File (EBAN)"/>
    <x v="1"/>
    <d v="2024-03-19T00:00:00"/>
    <s v="Mandatory null_x000a_['counterparty_staus']"/>
    <m/>
    <x v="6"/>
    <x v="5"/>
    <m/>
    <b v="0"/>
    <x v="1"/>
    <b v="1"/>
  </r>
  <r>
    <s v="mx"/>
    <s v="persist_mx.mx_limiteffective"/>
    <s v="Plan B: Source File (EBAN)"/>
    <x v="1"/>
    <d v="2024-03-19T00:00:00"/>
    <m/>
    <m/>
    <x v="6"/>
    <x v="5"/>
    <m/>
    <b v="0"/>
    <x v="1"/>
    <b v="1"/>
  </r>
  <r>
    <s v="pcb_dep"/>
    <s v="persist_pcb_dep.pcb_dep_src_pf_ar_sa_dly"/>
    <s v="Plan B: Source File (EBAN)"/>
    <x v="0"/>
    <m/>
    <s v="Mandatory null ['pcb_int_idnx', 'tax_owner']_x000a_[25-Mar] EBAN confirmed that on prodution have null value for field 'pcb_int_idnx'_x000a_TS12: thai encoding - from source - order 2024-03-24"/>
    <m/>
    <x v="9"/>
    <x v="13"/>
    <s v="M (Thai encode)"/>
    <b v="0"/>
    <x v="0"/>
    <b v="0"/>
  </r>
  <r>
    <s v="pcb_dep"/>
    <s v="persist_pcb_dep.pcb_dep_src_pf_ar_ca_dly"/>
    <s v="Plan B: Source File (EBAN)"/>
    <x v="0"/>
    <m/>
    <s v="TS08: Mandatory null_x000a_['cls_dt', 'bsn_code_id', 'psbk_no', 'neg_cmpd_frq_unit', 'eff_int_rate_tp_id']_x000a_TS12: thai encoding - from source - order 2024-03-24"/>
    <m/>
    <x v="9"/>
    <x v="13"/>
    <s v="M (Thai encode)"/>
    <b v="0"/>
    <x v="0"/>
    <b v="0"/>
  </r>
  <r>
    <s v="pcb_dep"/>
    <s v="persist_pcb_dep.pcb_dep_src_pf_ar_fx_dly"/>
    <s v="Plan B: Source File (EBAN)"/>
    <x v="3"/>
    <s v="2024-03-20"/>
    <s v="TS12: thai encoding - from source - order 2024-03-24_x000a__x000a_[25 Mar 24 Warm]_x000a_- All format DATE, TIMESTAMP incorrect_x000a_Spec - timestamp : yyyy-MM-dd HH:mm:ss_x000a_Data : yyyyMMdd_x000a__x000a_[Kate] _x000a_- Check Data : ภาษาไทย Eban สามารถแสดงผลได้ตามปกติ_x000a_- TC12 :  Field src_pos_dt,opn_dt,eff_dt,mat_dt,last_cst_avy_dt,last_int_pymt_dt แสดงปี คศ เป็น 1400-01-01T00:00:00+07:00"/>
    <s v="[26-Mar] EBAN Team agreed to refer spec for date datatype as data source (Convert spec from timestamp to date yyyyMMdd)"/>
    <x v="4"/>
    <x v="13"/>
    <s v="M (Thai encode)"/>
    <b v="0"/>
    <x v="0"/>
    <b v="0"/>
  </r>
  <r>
    <s v="pcb_dep"/>
    <s v="persist_pcb_dep.pcb_dep_src_pf_ar_sf_dly"/>
    <s v="Plan B: Source File (EBAN)"/>
    <x v="3"/>
    <s v="2024-03-20"/>
    <s v="TS12: thai encoding - from source - order 2024-03-24"/>
    <m/>
    <x v="5"/>
    <x v="13"/>
    <s v="M (Thai encode)"/>
    <b v="0"/>
    <x v="0"/>
    <b v="0"/>
  </r>
  <r>
    <s v="pcb_dep"/>
    <s v="persist_pcb_dep.pcb_dep_src_pf_txn_mis_eft_dly"/>
    <s v="Plan B: Source File (EBAN)"/>
    <x v="0"/>
    <m/>
    <s v="TS08: Mandatory null_x000a_['fm_ar_id', 'txn_tel_fee', 'fm_ar_domc_br_no', 'fm_coa_pd_ftr_code', 'eft_chk_nbr']_x000a_TS12: thai encoding - from source - order 2024-03-24"/>
    <m/>
    <x v="9"/>
    <x v="13"/>
    <s v="M (Thai encode)"/>
    <b v="0"/>
    <x v="0"/>
    <b v="0"/>
  </r>
  <r>
    <s v="pcb_dep"/>
    <s v="persist_pcb_dep.pcb_dep_cls500029"/>
    <s v="Plan B: Source File (EBAN)"/>
    <x v="0"/>
    <m/>
    <s v="[1 April] All TS passed; except TS12 Thai language_x000a__x000a_[28-Mar] No header and footer, but header and footer are specified in job config =&gt; Source to confirm_x000a__x000a_Control File Record Count is not equal to spark dataframe record count_x000a__x000a_[1-April M] Fixed jobconfig (header/tailer)_x000a_"/>
    <m/>
    <x v="1"/>
    <x v="13"/>
    <s v="M (Thai encode)"/>
    <b v="0"/>
    <x v="0"/>
    <b v="0"/>
  </r>
  <r>
    <s v="pcb_dep"/>
    <s v="persist_pcb_dep.pcb_dep_src_pf_ar_ca_cr_inf_dly"/>
    <s v="Plan B: Source File (EBAN) - fix length"/>
    <x v="0"/>
    <m/>
    <s v="UnicodeError: 'utf-8' codec can't decode byte 0xb9 in position 979: invalid start byte"/>
    <m/>
    <x v="5"/>
    <x v="13"/>
    <s v="M (Thai encode)"/>
    <b v="0"/>
    <x v="0"/>
    <b v="0"/>
  </r>
  <r>
    <s v="pcb_dep"/>
    <s v="persist_pcb_dep.pcb_dep_src_pf_ar_ca_limit_dly"/>
    <s v="Plan B: Source File (EBAN)"/>
    <x v="1"/>
    <s v="2024-03-20"/>
    <m/>
    <m/>
    <x v="6"/>
    <x v="5"/>
    <s v="M (Thai encode)"/>
    <b v="0"/>
    <x v="1"/>
    <b v="1"/>
  </r>
  <r>
    <s v="pcb_loan"/>
    <s v="persist_pcb_loan.pcb_loan_common_limit_info"/>
    <s v="Plan B: Source File (EBAN)"/>
    <x v="0"/>
    <m/>
    <s v="TS08 Mandatory null_x000a_['ar_nm_th']"/>
    <m/>
    <x v="9"/>
    <x v="13"/>
    <s v="M (Thai encode)"/>
    <b v="0"/>
    <x v="0"/>
    <b v="0"/>
  </r>
  <r>
    <s v="pcb_loan"/>
    <s v="persist_pcb_loan.pcb_loan_common_market_code"/>
    <s v="Plan B: Source File (EBAN)"/>
    <x v="3"/>
    <s v="2024-03-20"/>
    <s v="TS12: thai encoding - from source - order 2024-03-24"/>
    <m/>
    <x v="5"/>
    <x v="13"/>
    <s v="M (Thai encode)"/>
    <b v="0"/>
    <x v="0"/>
    <b v="0"/>
  </r>
  <r>
    <s v="pcb_loan"/>
    <s v="persist_pcb_loan.pcb_loan_common_rate_type"/>
    <s v="Plan B: Source File (EBAN)"/>
    <x v="3"/>
    <s v="2024-03-25"/>
    <m/>
    <m/>
    <x v="5"/>
    <x v="13"/>
    <s v="M (Thai encode)"/>
    <b v="0"/>
    <x v="0"/>
    <b v="0"/>
  </r>
  <r>
    <s v="pcb_loan"/>
    <s v="persist_pcb_loan.pcb_loan_common_account_tier_by_time"/>
    <s v="Plan B: Source File (EBAN)"/>
    <x v="1"/>
    <s v="2024-03-21"/>
    <m/>
    <m/>
    <x v="6"/>
    <x v="5"/>
    <s v="M (Thai encode)"/>
    <b v="0"/>
    <x v="1"/>
    <b v="1"/>
  </r>
  <r>
    <s v="pcb_loan"/>
    <s v="persist_pcb_loan.pcb_loan_common_sub_type"/>
    <s v="Plan B: Source File (EBAN)"/>
    <x v="3"/>
    <s v="2024-03-21"/>
    <s v="TS12: thai encoding - from source - order 2024-03-24"/>
    <m/>
    <x v="5"/>
    <x v="13"/>
    <s v="M (Thai encode)"/>
    <b v="0"/>
    <x v="0"/>
    <b v="0"/>
  </r>
  <r>
    <s v="pcb_loan"/>
    <s v="persist_pcb_loan.pcb_loan_common_loan_purpose_table"/>
    <s v="Plan B: Source File (EBAN)"/>
    <x v="3"/>
    <s v="2024-03-20"/>
    <s v="TS12: thai encoding - from source - order 2024-03-24"/>
    <m/>
    <x v="5"/>
    <x v="13"/>
    <s v="M (Thai encode)"/>
    <b v="0"/>
    <x v="0"/>
    <b v="0"/>
  </r>
  <r>
    <s v="pcb_loan"/>
    <s v="persist_pcb_loan.pcb_loan_common_transaction_file"/>
    <s v="Plan B: Source File (EBAN)"/>
    <x v="1"/>
    <m/>
    <s v="TS08 Mandatory null ['ahr_lvl_id']_x000a__x000a_[28-Mar] EBAN confirmed that on EBAN production have null value for field 'ahr_lvl_id'_x000a_Test result : TS08 will be failed"/>
    <m/>
    <x v="6"/>
    <x v="5"/>
    <s v="M (Thai encode)"/>
    <b v="1"/>
    <x v="1"/>
    <b v="1"/>
  </r>
  <r>
    <s v="scf"/>
    <s v="persist_scf.scf_vw_rdt_scf_cl"/>
    <s v="Plan B: Pull DB"/>
    <x v="1"/>
    <m/>
    <s v="[25-Mar] EBAN confirmed that on prodution have null value for field 'entity_id'_x000a_Test result : TS08 will be failed"/>
    <m/>
    <x v="6"/>
    <x v="5"/>
    <m/>
    <b v="0"/>
    <x v="1"/>
    <b v="1"/>
  </r>
  <r>
    <s v="scf"/>
    <s v="persist_scf.scf_vw_scm_acct"/>
    <s v="Plan B: Pull DB"/>
    <x v="1"/>
    <s v="2024-03-20"/>
    <s v="[26 Mar]_x000a_CBR format - yyyy-MM-dd HH:mm:ss.SSS_x000a_Source data - yyyy-MM-dd HH:mm:ss.SSSSSS"/>
    <s v="[27-Mar]  EBAN Team agreed to align format by Data file for 2 fields dtecreatedate,dteupddate(yyyy-MM-dd HH:mm:ss.SSSSSS)"/>
    <x v="6"/>
    <x v="5"/>
    <m/>
    <b v="1"/>
    <x v="1"/>
    <b v="1"/>
  </r>
  <r>
    <s v="scf"/>
    <s v="persist_scf.scf_product_map"/>
    <s v="Plan B: Pull DB"/>
    <x v="1"/>
    <s v="2024-03-20"/>
    <m/>
    <m/>
    <x v="6"/>
    <x v="5"/>
    <m/>
    <b v="0"/>
    <x v="1"/>
    <b v="1"/>
  </r>
  <r>
    <s v="scf"/>
    <s v="persist_scf.scf_vw_rdt_scf_cl_acct"/>
    <s v="Plan B: Pull DB"/>
    <x v="1"/>
    <s v="2024-03-20"/>
    <m/>
    <m/>
    <x v="6"/>
    <x v="5"/>
    <m/>
    <b v="0"/>
    <x v="1"/>
    <b v="1"/>
  </r>
  <r>
    <s v="ud"/>
    <s v="persist_ud.ud_vw_flt_rl_sub_bal_enq"/>
    <s v="Plan B: Pull DB"/>
    <x v="1"/>
    <s v="2024-03-20"/>
    <s v="Mismatch data layout_x000a_- Data source 16/ KBMF 16/ CBR EBAN 15_x000a_&gt;&gt; EBAN Team agreed to align spec by CBR EBAN_x000a_TS03: num col mismatch_x000a_TS04: col name mismatch"/>
    <s v="[21-Mar] EBAN Team agreed to align table structure by CBR EBAN 15 fields (diff with data 1 field 'app_date')_x000a_Test result : TS03, TS04, TS12 will be failed_x000a__x000a_check date column??"/>
    <x v="6"/>
    <x v="5"/>
    <m/>
    <b v="1"/>
    <x v="1"/>
    <b v="1"/>
  </r>
  <r>
    <s v="ud"/>
    <s v="persist_ud.ud_vw_flt_dp_div_cert_inc"/>
    <s v="Plan B: Pull DB"/>
    <x v="0"/>
    <d v="2024-03-28T00:00:00"/>
    <s v="TS05: datatype mismatch_x000a_TS12: date and timestamp field_x000a__x000a_- All format DATE, TIMESTAMP incorrect_x000a_Spec : yyyyMMdd HHmmss_x000a_Data : yyyy-MM-dd HH:mm:ss, yyyy-MM-dd HH:mm:ss.SSSSSS"/>
    <s v="[28-Mar] Updated Data Type+ Format for Target table for 4 fields to Timestamp_x000a_- effective_date_of_transfer_x000a_- extraction_date_x000a_- dividend_processing_date_x000a_- bookclosingdate"/>
    <x v="4"/>
    <x v="6"/>
    <s v="Tee"/>
    <b v="0"/>
    <x v="0"/>
    <b v="0"/>
  </r>
  <r>
    <s v="rmst"/>
    <s v="persist_rmst.rmst_customer"/>
    <s v="Plan A: Source File (Pull)"/>
    <x v="1"/>
    <s v="2024-03-14"/>
    <s v="RMST initial data : 2024-03-14, 2024-03-15, 2024-03-16, 2024-03-17 (fixed) , 2024-03-18 (fixed)_x000a__x000a_[27-Mar] run on-going on pos_dt: 2024-03-15 - source is not equal to control file_x000a_- Source: 1019430, Control: 1019429"/>
    <m/>
    <x v="6"/>
    <x v="14"/>
    <s v="Tee"/>
    <b v="0"/>
    <x v="1"/>
    <b v="1"/>
  </r>
  <r>
    <s v="cardlink"/>
    <s v="persist_cardlink.cardlink_odscc_ccv2_jcb"/>
    <s v="EBAN-IN"/>
    <x v="0"/>
    <m/>
    <m/>
    <m/>
    <x v="8"/>
    <x v="5"/>
    <m/>
    <b v="0"/>
    <x v="1"/>
    <b v="0"/>
  </r>
  <r>
    <s v="HRCRC"/>
    <s v="persist_hrcrc.hrcrc_vc_rc_cd"/>
    <s v="EBAN-IN"/>
    <x v="0"/>
    <m/>
    <m/>
    <m/>
    <x v="8"/>
    <x v="5"/>
    <m/>
    <b v="0"/>
    <x v="1"/>
    <b v="0"/>
  </r>
  <r>
    <s v="lpm_as400"/>
    <s v="persist_lpm_as400.lpm_as400_lmt_ar_inf_bfr_wrtof"/>
    <s v="EBAN-IN"/>
    <x v="0"/>
    <m/>
    <m/>
    <m/>
    <x v="8"/>
    <x v="5"/>
    <m/>
    <b v="0"/>
    <x v="1"/>
    <b v="0"/>
  </r>
  <r>
    <s v="lpm_as400"/>
    <s v="persist_lpm_as400.lpm_as400_ar_wrtof_rcv"/>
    <s v="EBAN-IN"/>
    <x v="0"/>
    <m/>
    <m/>
    <m/>
    <x v="8"/>
    <x v="5"/>
    <m/>
    <b v="0"/>
    <x v="1"/>
    <b v="0"/>
  </r>
  <r>
    <s v="lpm_as400"/>
    <s v="persist_lpm_as400.lpm_as400_ln_cntg_dmmy_clss_prvn"/>
    <s v="EBAN-IN"/>
    <x v="0"/>
    <m/>
    <m/>
    <m/>
    <x v="8"/>
    <x v="5"/>
    <m/>
    <b v="0"/>
    <x v="1"/>
    <b v="0"/>
  </r>
  <r>
    <s v="lpm_as400"/>
    <s v="persist_lpm_as400.lpm_as400_ln_card_clss_prvn"/>
    <s v="EBAN-IN"/>
    <x v="0"/>
    <m/>
    <m/>
    <m/>
    <x v="8"/>
    <x v="5"/>
    <m/>
    <b v="0"/>
    <x v="1"/>
    <b v="0"/>
  </r>
  <r>
    <s v="lpm_as400"/>
    <s v="persist_lpm_as400.lpm_as400_ln_cntg_clss_prvn"/>
    <s v="EBAN-IN"/>
    <x v="0"/>
    <m/>
    <m/>
    <m/>
    <x v="8"/>
    <x v="5"/>
    <m/>
    <b v="0"/>
    <x v="1"/>
    <b v="0"/>
  </r>
  <r>
    <s v="lpm_as400"/>
    <s v="persist_lpm_as400.lpm_as400_ar_clss_qly"/>
    <s v="EBAN-IN"/>
    <x v="0"/>
    <m/>
    <m/>
    <m/>
    <x v="8"/>
    <x v="5"/>
    <m/>
    <b v="0"/>
    <x v="1"/>
    <b v="0"/>
  </r>
  <r>
    <s v="lpm_as400"/>
    <s v="persist_lpm_as400.lpm_as400_ln_cntg_clss_prvn_bfr_wrtof"/>
    <s v="EBAN-IN"/>
    <x v="0"/>
    <m/>
    <m/>
    <m/>
    <x v="8"/>
    <x v="5"/>
    <m/>
    <b v="0"/>
    <x v="1"/>
    <b v="0"/>
  </r>
  <r>
    <s v="lpm_as400"/>
    <s v="persist_lpm_as400.lpm_as400_lmt_inf_bfr_wrtof"/>
    <s v="EBAN-IN"/>
    <x v="0"/>
    <m/>
    <m/>
    <m/>
    <x v="8"/>
    <x v="5"/>
    <m/>
    <b v="0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BDC19-8573-4CC0-8F40-DFDE459FEC11}" name="PivotTable3" cacheId="9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17" firstHeaderRow="1" firstDataRow="1" firstDataCol="1" rowPageCount="1" colPageCount="1"/>
  <pivotFields count="13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30">
        <item m="1" x="25"/>
        <item m="1" x="26"/>
        <item x="6"/>
        <item m="1" x="17"/>
        <item m="1" x="15"/>
        <item x="9"/>
        <item m="1" x="16"/>
        <item m="1" x="27"/>
        <item m="1" x="28"/>
        <item m="1" x="24"/>
        <item x="4"/>
        <item x="12"/>
        <item m="1" x="23"/>
        <item x="1"/>
        <item m="1" x="19"/>
        <item x="11"/>
        <item m="1" x="18"/>
        <item m="1" x="20"/>
        <item x="7"/>
        <item x="2"/>
        <item x="10"/>
        <item m="1" x="22"/>
        <item x="13"/>
        <item x="14"/>
        <item x="3"/>
        <item x="0"/>
        <item x="8"/>
        <item m="1" x="21"/>
        <item x="5"/>
        <item t="default"/>
      </items>
    </pivotField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compact="0" outline="0" showAll="0"/>
  </pivotFields>
  <rowFields count="1">
    <field x="8"/>
  </rowFields>
  <rowItems count="14">
    <i>
      <x v="2"/>
    </i>
    <i>
      <x v="5"/>
    </i>
    <i>
      <x v="10"/>
    </i>
    <i>
      <x v="11"/>
    </i>
    <i>
      <x v="13"/>
    </i>
    <i>
      <x v="15"/>
    </i>
    <i>
      <x v="18"/>
    </i>
    <i>
      <x v="19"/>
    </i>
    <i>
      <x v="22"/>
    </i>
    <i>
      <x v="24"/>
    </i>
    <i>
      <x v="25"/>
    </i>
    <i>
      <x v="26"/>
    </i>
    <i>
      <x v="28"/>
    </i>
    <i t="grand">
      <x/>
    </i>
  </rowItems>
  <colItems count="1">
    <i/>
  </colItems>
  <pageFields count="1">
    <pageField fld="11" item="1" hier="-1"/>
  </pageFields>
  <dataFields count="1">
    <dataField name="Count of Persist Table Name" fld="1" subtotal="count" baseField="0" baseItem="0"/>
  </dataFields>
  <formats count="17">
    <format dxfId="564">
      <pivotArea field="11" type="button" dataOnly="0" labelOnly="1" outline="0" axis="axisPage" fieldPosition="0"/>
    </format>
    <format dxfId="565">
      <pivotArea field="8" type="button" dataOnly="0" labelOnly="1" outline="0" axis="axisRow" fieldPosition="0"/>
    </format>
    <format dxfId="566">
      <pivotArea dataOnly="0" labelOnly="1" outline="0" fieldPosition="0">
        <references count="1">
          <reference field="8" count="14">
            <x v="2"/>
            <x v="4"/>
            <x v="5"/>
            <x v="12"/>
            <x v="13"/>
            <x v="14"/>
            <x v="16"/>
            <x v="17"/>
            <x v="19"/>
            <x v="21"/>
            <x v="22"/>
            <x v="24"/>
            <x v="27"/>
            <x v="28"/>
          </reference>
        </references>
      </pivotArea>
    </format>
    <format dxfId="567">
      <pivotArea dataOnly="0" labelOnly="1" grandRow="1" outline="0" fieldPosition="0"/>
    </format>
    <format dxfId="568">
      <pivotArea dataOnly="0" labelOnly="1" outline="0" fieldPosition="0">
        <references count="1">
          <reference field="8" count="1">
            <x v="12"/>
          </reference>
        </references>
      </pivotArea>
    </format>
    <format dxfId="569">
      <pivotArea type="all" dataOnly="0" outline="0" fieldPosition="0"/>
    </format>
    <format dxfId="570">
      <pivotArea dataOnly="0" labelOnly="1" outline="0" fieldPosition="0">
        <references count="1">
          <reference field="8" count="14">
            <x v="2"/>
            <x v="4"/>
            <x v="5"/>
            <x v="12"/>
            <x v="13"/>
            <x v="14"/>
            <x v="16"/>
            <x v="17"/>
            <x v="19"/>
            <x v="21"/>
            <x v="22"/>
            <x v="24"/>
            <x v="27"/>
            <x v="28"/>
          </reference>
        </references>
      </pivotArea>
    </format>
    <format dxfId="571">
      <pivotArea type="all" dataOnly="0" outline="0" fieldPosition="0"/>
    </format>
    <format dxfId="572">
      <pivotArea outline="0" collapsedLevelsAreSubtotals="1" fieldPosition="0"/>
    </format>
    <format dxfId="573">
      <pivotArea field="8" type="button" dataOnly="0" labelOnly="1" outline="0" axis="axisRow" fieldPosition="0"/>
    </format>
    <format dxfId="574">
      <pivotArea dataOnly="0" labelOnly="1" outline="0" fieldPosition="0">
        <references count="1">
          <reference field="8" count="14">
            <x v="2"/>
            <x v="4"/>
            <x v="5"/>
            <x v="10"/>
            <x v="11"/>
            <x v="13"/>
            <x v="14"/>
            <x v="16"/>
            <x v="17"/>
            <x v="19"/>
            <x v="22"/>
            <x v="24"/>
            <x v="26"/>
            <x v="28"/>
          </reference>
        </references>
      </pivotArea>
    </format>
    <format dxfId="575">
      <pivotArea dataOnly="0" labelOnly="1" grandRow="1" outline="0" fieldPosition="0"/>
    </format>
    <format dxfId="576">
      <pivotArea dataOnly="0" labelOnly="1" outline="0" axis="axisValues" fieldPosition="0"/>
    </format>
    <format dxfId="577">
      <pivotArea dataOnly="0" labelOnly="1" outline="0" fieldPosition="0">
        <references count="1">
          <reference field="8" count="8">
            <x v="2"/>
            <x v="4"/>
            <x v="5"/>
            <x v="10"/>
            <x v="11"/>
            <x v="13"/>
            <x v="14"/>
            <x v="16"/>
          </reference>
        </references>
      </pivotArea>
    </format>
    <format dxfId="578">
      <pivotArea dataOnly="0" labelOnly="1" outline="0" fieldPosition="0">
        <references count="1">
          <reference field="8" count="6">
            <x v="13"/>
            <x v="14"/>
            <x v="16"/>
            <x v="18"/>
            <x v="19"/>
            <x v="22"/>
          </reference>
        </references>
      </pivotArea>
    </format>
    <format dxfId="579">
      <pivotArea dataOnly="0" labelOnly="1" outline="0" fieldPosition="0">
        <references count="1">
          <reference field="8" count="14">
            <x v="2"/>
            <x v="4"/>
            <x v="5"/>
            <x v="10"/>
            <x v="11"/>
            <x v="13"/>
            <x v="15"/>
            <x v="18"/>
            <x v="19"/>
            <x v="22"/>
            <x v="24"/>
            <x v="25"/>
            <x v="26"/>
            <x v="28"/>
          </reference>
        </references>
      </pivotArea>
    </format>
    <format dxfId="580">
      <pivotArea dataOnly="0" labelOnly="1" outline="0" fieldPosition="0">
        <references count="1">
          <reference field="8" count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74675-A64D-42F2-8F8C-C5388F0D276B}" name="PivotTable1" cacheId="9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0" firstHeaderRow="1" firstDataRow="1" firstDataCol="2" rowPageCount="1" colPageCount="1"/>
  <pivotFields count="13"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3">
        <item x="14"/>
        <item x="11"/>
        <item x="16"/>
        <item x="12"/>
        <item x="0"/>
        <item x="3"/>
        <item x="15"/>
        <item x="9"/>
        <item x="4"/>
        <item x="2"/>
        <item x="1"/>
        <item x="7"/>
        <item m="1" x="19"/>
        <item x="10"/>
        <item x="17"/>
        <item x="6"/>
        <item m="1" x="20"/>
        <item m="1" x="21"/>
        <item x="8"/>
        <item x="5"/>
        <item x="13"/>
        <item x="1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compact="0" outline="0" showAll="0"/>
  </pivotFields>
  <rowFields count="2">
    <field x="3"/>
    <field x="7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8"/>
    </i>
    <i r="1">
      <x v="19"/>
    </i>
    <i r="1">
      <x v="20"/>
    </i>
    <i r="1">
      <x v="21"/>
    </i>
    <i t="default">
      <x/>
    </i>
    <i>
      <x v="2"/>
      <x v="10"/>
    </i>
    <i r="1">
      <x v="18"/>
    </i>
    <i t="default">
      <x v="2"/>
    </i>
    <i>
      <x v="3"/>
      <x v="7"/>
    </i>
    <i r="1">
      <x v="8"/>
    </i>
    <i r="1">
      <x v="10"/>
    </i>
    <i r="1">
      <x v="19"/>
    </i>
    <i t="default">
      <x v="3"/>
    </i>
    <i t="grand">
      <x/>
    </i>
  </rowItems>
  <colItems count="1">
    <i/>
  </colItems>
  <pageFields count="1">
    <pageField fld="11" item="1" hier="-1"/>
  </pageFields>
  <dataFields count="1">
    <dataField name="Count of Persist Table Name" fld="1" subtotal="count" baseField="0" baseItem="0"/>
  </dataFields>
  <formats count="12">
    <format dxfId="552">
      <pivotArea outline="0" fieldPosition="0">
        <references count="1">
          <reference field="7" count="1" selected="0">
            <x v="19"/>
          </reference>
        </references>
      </pivotArea>
    </format>
    <format dxfId="553">
      <pivotArea dataOnly="0" labelOnly="1" outline="0" fieldPosition="0">
        <references count="1">
          <reference field="7" count="1">
            <x v="19"/>
          </reference>
        </references>
      </pivotArea>
    </format>
    <format dxfId="554">
      <pivotArea field="11" type="button" dataOnly="0" labelOnly="1" outline="0" axis="axisPage" fieldPosition="0"/>
    </format>
    <format dxfId="555">
      <pivotArea field="7" type="button" dataOnly="0" labelOnly="1" outline="0" axis="axisRow" fieldPosition="1"/>
    </format>
    <format dxfId="556">
      <pivotArea dataOnly="0" labelOnly="1" outline="0" fieldPosition="0">
        <references count="1">
          <reference field="7" count="17">
            <x v="0"/>
            <x v="1"/>
            <x v="2"/>
            <x v="3"/>
            <x v="4"/>
            <x v="5"/>
            <x v="7"/>
            <x v="8"/>
            <x v="9"/>
            <x v="10"/>
            <x v="11"/>
            <x v="13"/>
            <x v="14"/>
            <x v="18"/>
            <x v="19"/>
            <x v="20"/>
            <x v="21"/>
          </reference>
        </references>
      </pivotArea>
    </format>
    <format dxfId="557">
      <pivotArea dataOnly="0" labelOnly="1" grandRow="1" outline="0" fieldPosition="0"/>
    </format>
    <format dxfId="558">
      <pivotArea type="all" dataOnly="0" outline="0" fieldPosition="0"/>
    </format>
    <format dxfId="559">
      <pivotArea outline="0" collapsedLevelsAreSubtotals="1" fieldPosition="0"/>
    </format>
    <format dxfId="560">
      <pivotArea field="7" type="button" dataOnly="0" labelOnly="1" outline="0" axis="axisRow" fieldPosition="1"/>
    </format>
    <format dxfId="561">
      <pivotArea dataOnly="0" labelOnly="1" outline="0" fieldPosition="0">
        <references count="1">
          <reference field="7" count="17">
            <x v="0"/>
            <x v="1"/>
            <x v="2"/>
            <x v="3"/>
            <x v="4"/>
            <x v="5"/>
            <x v="7"/>
            <x v="8"/>
            <x v="9"/>
            <x v="10"/>
            <x v="11"/>
            <x v="13"/>
            <x v="14"/>
            <x v="18"/>
            <x v="19"/>
            <x v="20"/>
            <x v="21"/>
          </reference>
        </references>
      </pivotArea>
    </format>
    <format dxfId="562">
      <pivotArea dataOnly="0" labelOnly="1" grandRow="1" outline="0" fieldPosition="0"/>
    </format>
    <format dxfId="563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35BD4-B15E-4660-B254-5B36A398231B}" name="PivotTable2" cacheId="9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3:E19" firstHeaderRow="1" firstDataRow="1" firstDataCol="1" rowPageCount="1" colPageCount="1"/>
  <pivotFields count="10">
    <pivotField compact="0" outline="0" showAll="0"/>
    <pivotField dataField="1" compact="0" outline="0" showAll="0"/>
    <pivotField axis="axisPage" compact="0" outline="0" showAll="0">
      <items count="7">
        <item h="1" x="5"/>
        <item h="1" x="3"/>
        <item x="2"/>
        <item h="1" x="0"/>
        <item h="1"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8">
        <item x="6"/>
        <item m="1" x="22"/>
        <item x="3"/>
        <item x="15"/>
        <item x="14"/>
        <item x="7"/>
        <item x="16"/>
        <item x="1"/>
        <item m="1" x="23"/>
        <item x="21"/>
        <item x="13"/>
        <item x="4"/>
        <item m="1" x="26"/>
        <item x="5"/>
        <item x="17"/>
        <item x="0"/>
        <item x="10"/>
        <item m="1" x="25"/>
        <item m="1" x="24"/>
        <item x="18"/>
        <item x="11"/>
        <item x="9"/>
        <item x="19"/>
        <item x="20"/>
        <item x="12"/>
        <item x="2"/>
        <item x="8"/>
        <item t="default"/>
      </items>
    </pivotField>
    <pivotField compact="0" outline="0" showAll="0"/>
    <pivotField compact="0" outline="0" showAll="0"/>
  </pivotFields>
  <rowFields count="1">
    <field x="7"/>
  </rowFields>
  <rowItems count="6">
    <i>
      <x v="6"/>
    </i>
    <i>
      <x v="11"/>
    </i>
    <i>
      <x v="13"/>
    </i>
    <i>
      <x v="15"/>
    </i>
    <i>
      <x v="22"/>
    </i>
    <i t="grand">
      <x/>
    </i>
  </rowItems>
  <colItems count="1">
    <i/>
  </colItems>
  <pageFields count="1">
    <pageField fld="2" item="2" hier="-1"/>
  </pageFields>
  <dataFields count="1">
    <dataField name="Count of Persist Table Name" fld="1" subtotal="count" baseField="0" baseItem="0"/>
  </dataFields>
  <formats count="9">
    <format dxfId="543">
      <pivotArea type="all" dataOnly="0" outline="0" fieldPosition="0"/>
    </format>
    <format dxfId="544">
      <pivotArea outline="0" collapsedLevelsAreSubtotals="1" fieldPosition="0"/>
    </format>
    <format dxfId="545">
      <pivotArea dataOnly="0" labelOnly="1" grandRow="1" outline="0" fieldPosition="0"/>
    </format>
    <format dxfId="546">
      <pivotArea dataOnly="0" labelOnly="1" outline="0" axis="axisValues" fieldPosition="0"/>
    </format>
    <format dxfId="547">
      <pivotArea type="all" dataOnly="0" outline="0" fieldPosition="0"/>
    </format>
    <format dxfId="548">
      <pivotArea outline="0" collapsedLevelsAreSubtotals="1" fieldPosition="0"/>
    </format>
    <format dxfId="549">
      <pivotArea field="7" type="button" dataOnly="0" labelOnly="1" outline="0" axis="axisRow" fieldPosition="0"/>
    </format>
    <format dxfId="550">
      <pivotArea dataOnly="0" labelOnly="1" grandRow="1" outline="0" fieldPosition="0"/>
    </format>
    <format dxfId="55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282F9-68FB-4564-B02A-8AE3BCA65107}" name="PivotTable1" cacheId="9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6" firstHeaderRow="1" firstDataRow="1" firstDataCol="1"/>
  <pivotFields count="10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8">
        <item x="6"/>
        <item m="1" x="22"/>
        <item x="3"/>
        <item x="15"/>
        <item x="14"/>
        <item x="7"/>
        <item x="16"/>
        <item x="1"/>
        <item m="1" x="23"/>
        <item x="21"/>
        <item x="13"/>
        <item x="4"/>
        <item m="1" x="26"/>
        <item x="5"/>
        <item x="17"/>
        <item x="0"/>
        <item x="10"/>
        <item m="1" x="25"/>
        <item m="1" x="24"/>
        <item x="18"/>
        <item x="11"/>
        <item x="9"/>
        <item x="19"/>
        <item x="20"/>
        <item x="12"/>
        <item x="2"/>
        <item x="8"/>
        <item t="default"/>
      </items>
    </pivotField>
    <pivotField compact="0" outline="0" showAll="0"/>
    <pivotField compact="0" outline="0" showAll="0"/>
  </pivotFields>
  <rowFields count="1">
    <field x="7"/>
  </rowFields>
  <rowItems count="23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>
      <x v="16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Persist Table Name" fld="1" subtotal="count" baseField="0" baseItem="0"/>
  </dataFields>
  <formats count="10">
    <format dxfId="533">
      <pivotArea type="all" dataOnly="0" outline="0" fieldPosition="0"/>
    </format>
    <format dxfId="534">
      <pivotArea outline="0" collapsedLevelsAreSubtotals="1" fieldPosition="0"/>
    </format>
    <format dxfId="535">
      <pivotArea dataOnly="0" labelOnly="1" grandRow="1" outline="0" fieldPosition="0"/>
    </format>
    <format dxfId="536">
      <pivotArea dataOnly="0" labelOnly="1" outline="0" axis="axisValues" fieldPosition="0"/>
    </format>
    <format dxfId="537">
      <pivotArea type="all" dataOnly="0" outline="0" fieldPosition="0"/>
    </format>
    <format dxfId="538">
      <pivotArea outline="0" collapsedLevelsAreSubtotals="1" fieldPosition="0"/>
    </format>
    <format dxfId="539">
      <pivotArea field="7" type="button" dataOnly="0" labelOnly="1" outline="0" axis="axisRow" fieldPosition="0"/>
    </format>
    <format dxfId="540">
      <pivotArea dataOnly="0" labelOnly="1" outline="0" fieldPosition="0">
        <references count="1">
          <reference field="7" count="0"/>
        </references>
      </pivotArea>
    </format>
    <format dxfId="541">
      <pivotArea dataOnly="0" labelOnly="1" grandRow="1" outline="0" fieldPosition="0"/>
    </format>
    <format dxfId="542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26E53-B569-480F-B8C2-A2E50544F1E7}" name="PivotTable3" cacheId="9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B39" firstHeaderRow="1" firstDataRow="1" firstDataCol="1"/>
  <pivotFields count="10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ascending">
      <items count="28">
        <item x="6"/>
        <item m="1" x="22"/>
        <item x="3"/>
        <item x="15"/>
        <item x="14"/>
        <item x="7"/>
        <item x="16"/>
        <item x="1"/>
        <item m="1" x="23"/>
        <item x="21"/>
        <item x="13"/>
        <item x="4"/>
        <item m="1" x="26"/>
        <item x="5"/>
        <item x="17"/>
        <item x="0"/>
        <item x="10"/>
        <item m="1" x="25"/>
        <item m="1" x="24"/>
        <item x="18"/>
        <item x="11"/>
        <item x="9"/>
        <item x="19"/>
        <item x="20"/>
        <item x="12"/>
        <item x="2"/>
        <item x="8"/>
        <item t="default"/>
      </items>
    </pivotField>
    <pivotField compact="0" outline="0" showAll="0"/>
    <pivotField axis="axisRow" compact="0" outline="0" showAll="0">
      <items count="14">
        <item x="7"/>
        <item x="1"/>
        <item x="0"/>
        <item m="1" x="10"/>
        <item m="1" x="12"/>
        <item m="1" x="11"/>
        <item x="6"/>
        <item x="2"/>
        <item x="4"/>
        <item m="1" x="9"/>
        <item m="1" x="8"/>
        <item x="5"/>
        <item x="3"/>
        <item t="default"/>
      </items>
    </pivotField>
  </pivotFields>
  <rowFields count="1">
    <field x="9"/>
  </rowFields>
  <rowItems count="9">
    <i>
      <x/>
    </i>
    <i>
      <x v="1"/>
    </i>
    <i>
      <x v="2"/>
    </i>
    <i>
      <x v="6"/>
    </i>
    <i>
      <x v="7"/>
    </i>
    <i>
      <x v="8"/>
    </i>
    <i>
      <x v="11"/>
    </i>
    <i>
      <x v="12"/>
    </i>
    <i t="grand">
      <x/>
    </i>
  </rowItems>
  <colItems count="1">
    <i/>
  </colItems>
  <dataFields count="1">
    <dataField name="Count of Persist Table Name" fld="1" subtotal="count" baseField="0" baseItem="0"/>
  </dataFields>
  <formats count="9">
    <format dxfId="524">
      <pivotArea type="all" dataOnly="0" outline="0" fieldPosition="0"/>
    </format>
    <format dxfId="525">
      <pivotArea outline="0" collapsedLevelsAreSubtotals="1" fieldPosition="0"/>
    </format>
    <format dxfId="526">
      <pivotArea dataOnly="0" labelOnly="1" grandRow="1" outline="0" fieldPosition="0"/>
    </format>
    <format dxfId="527">
      <pivotArea dataOnly="0" labelOnly="1" outline="0" axis="axisValues" fieldPosition="0"/>
    </format>
    <format dxfId="528">
      <pivotArea type="all" dataOnly="0" outline="0" fieldPosition="0"/>
    </format>
    <format dxfId="529">
      <pivotArea outline="0" collapsedLevelsAreSubtotals="1" fieldPosition="0"/>
    </format>
    <format dxfId="530">
      <pivotArea field="7" type="button" dataOnly="0" labelOnly="1" outline="0"/>
    </format>
    <format dxfId="531">
      <pivotArea dataOnly="0" labelOnly="1" grandRow="1" outline="0" fieldPosition="0"/>
    </format>
    <format dxfId="532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48799-D158-41F6-8DE7-6B4998E6CFF4}" name="PivotTable1" cacheId="96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:P28" firstHeaderRow="1" firstDataRow="2" firstDataCol="1"/>
  <pivotFields count="7">
    <pivotField axis="axisRow" compact="0" outline="0" showAll="0">
      <items count="25">
        <item x="3"/>
        <item x="0"/>
        <item x="1"/>
        <item x="8"/>
        <item x="9"/>
        <item x="4"/>
        <item x="7"/>
        <item x="10"/>
        <item x="11"/>
        <item x="2"/>
        <item x="6"/>
        <item x="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Source File name/Table name" fld="1" subtotal="count" baseField="0" baseItem="0"/>
  </dataFields>
  <formats count="12">
    <format dxfId="512">
      <pivotArea type="all" dataOnly="0" outline="0" fieldPosition="0"/>
    </format>
    <format dxfId="513">
      <pivotArea dataOnly="0" labelOnly="1" outline="0" axis="axisValues" fieldPosition="0"/>
    </format>
    <format dxfId="514">
      <pivotArea field="4" grandRow="1" outline="0" axis="axisCol" fieldPosition="0">
        <references count="1">
          <reference field="4" count="1" selected="0">
            <x v="2"/>
          </reference>
        </references>
      </pivotArea>
    </format>
    <format dxfId="515">
      <pivotArea type="all" dataOnly="0" outline="0" fieldPosition="0"/>
    </format>
    <format dxfId="516">
      <pivotArea outline="0" collapsedLevelsAreSubtotals="1" fieldPosition="0"/>
    </format>
    <format dxfId="517">
      <pivotArea type="origin" dataOnly="0" labelOnly="1" outline="0" fieldPosition="0"/>
    </format>
    <format dxfId="518">
      <pivotArea field="4" type="button" dataOnly="0" labelOnly="1" outline="0" axis="axisCol" fieldPosition="0"/>
    </format>
    <format dxfId="519">
      <pivotArea type="topRight" dataOnly="0" labelOnly="1" outline="0" fieldPosition="0"/>
    </format>
    <format dxfId="520">
      <pivotArea field="0" type="button" dataOnly="0" labelOnly="1" outline="0" axis="axisRow" fieldPosition="0"/>
    </format>
    <format dxfId="521">
      <pivotArea dataOnly="0" labelOnly="1" grandRow="1" outline="0" fieldPosition="0"/>
    </format>
    <format dxfId="522">
      <pivotArea dataOnly="0" labelOnly="1" outline="0" fieldPosition="0">
        <references count="1">
          <reference field="4" count="0"/>
        </references>
      </pivotArea>
    </format>
    <format dxfId="523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B36E89-3FF5-42DD-A05B-24A8AE59D187}" name="Table3" displayName="Table3" ref="A3:M4" totalsRowShown="0">
  <autoFilter ref="A3:M4" xr:uid="{4CB36E89-3FF5-42DD-A05B-24A8AE59D187}"/>
  <tableColumns count="13">
    <tableColumn id="1" xr3:uid="{01E8EADB-C3DF-4870-BF34-FDF38D85196F}" name="Area Name"/>
    <tableColumn id="2" xr3:uid="{1BA94337-ACDF-45B9-82BE-6A6DD070D2BE}" name="Persist Table Name"/>
    <tableColumn id="3" xr3:uid="{4170CF7F-2699-4E37-8E81-691C2541CCA4}" name="Integration Approach"/>
    <tableColumn id="4" xr3:uid="{B46935C9-D099-4707-B886-561362EEDCFA}" name="SIT Status"/>
    <tableColumn id="5" xr3:uid="{BF79069A-31FF-4738-86B1-AE38975B9273}" name="pos_dt"/>
    <tableColumn id="6" xr3:uid="{16C9F2B6-66BF-4F83-ABEE-BF7268FAD21B}" name="SIT issue" dataDxfId="399"/>
    <tableColumn id="7" xr3:uid="{1960C939-A419-494E-8827-832A3EE9A99C}" name="CBR revise"/>
    <tableColumn id="8" xr3:uid="{0572A964-6349-49E3-BEAD-83216904B839}" name="Issues"/>
    <tableColumn id="9" xr3:uid="{32BE44FB-7197-408F-BFC8-19D72C7362BE}" name="Note"/>
    <tableColumn id="10" xr3:uid="{01159708-B8EE-4D4E-A55E-D312BB493A4E}" name="Owner"/>
    <tableColumn id="11" xr3:uid="{1B267916-BB1F-4365-A1A7-F20A4EE2C3F7}" name="Batch2"/>
    <tableColumn id="12" xr3:uid="{59F15803-0DF7-4A65-B143-9B895CC24F35}" name="Batch3"/>
    <tableColumn id="13" xr3:uid="{1A513A5E-C2BD-407E-9172-72739C1404E2}" name="pas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B7B30-51D4-4614-967A-5744AD1A17BE}" name="Table1" displayName="Table1" ref="A3:M18" totalsRowShown="0">
  <autoFilter ref="A3:M18" xr:uid="{D71B7B30-51D4-4614-967A-5744AD1A17BE}"/>
  <tableColumns count="13">
    <tableColumn id="1" xr3:uid="{3A5C50E9-4472-4E2B-A8E4-908AFD578AA6}" name="Area Name"/>
    <tableColumn id="2" xr3:uid="{18808BCA-2603-4FE0-93C7-4FE55AE2C6C8}" name="Persist Table Name"/>
    <tableColumn id="3" xr3:uid="{12D6F4B5-0276-4222-9C71-AC46C696B5AF}" name="Integration Approach"/>
    <tableColumn id="4" xr3:uid="{7791CE53-BF77-4A3A-ADD5-32AF8D8F95EC}" name="SIT Status"/>
    <tableColumn id="5" xr3:uid="{524E3D99-CED9-4455-8497-F318C9E52CFA}" name="pos_dt" dataDxfId="398"/>
    <tableColumn id="6" xr3:uid="{0835968E-AA21-45CF-B741-70BDE8F6D7FA}" name="SIT issue" dataDxfId="397"/>
    <tableColumn id="7" xr3:uid="{C33A125B-2085-4625-8ECB-991B1C398625}" name="CBR revise"/>
    <tableColumn id="8" xr3:uid="{FD08FEDA-E227-4892-8E32-DB8F49CDCC4E}" name="Issues"/>
    <tableColumn id="9" xr3:uid="{F15E34D8-BF19-4E93-B627-B049413B6BBD}" name="Note" dataDxfId="396"/>
    <tableColumn id="10" xr3:uid="{E0EFC4F6-C405-47CE-B8D0-C84D5878C1AB}" name="Owner"/>
    <tableColumn id="11" xr3:uid="{37E8029E-905B-4B9A-A05D-F7260959367E}" name="Batch2"/>
    <tableColumn id="12" xr3:uid="{E6318079-A014-4BE3-B76B-130B20A70697}" name="Batch3"/>
    <tableColumn id="13" xr3:uid="{1F97A813-C8E7-4C80-8F6C-5F57B51C0537}" name="pas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4" dT="2024-03-27T11:45:17.87" personId="{729CDDCD-DF23-44F5-BECA-88E4F9613AC2}" id="{AFA54205-9C28-4B05-9073-505E17F04B69}">
    <text>to update JRS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adb-1225054441296002.2.azuredatabricks.net/jobs/209860476102323/runs/278703411266153?o=1225054441296002" TargetMode="External"/><Relationship Id="rId2" Type="http://schemas.openxmlformats.org/officeDocument/2006/relationships/hyperlink" Target="https://adb-1225054441296002.2.azuredatabricks.net/jobs/209860476102323/runs/116053452444708?o=1225054441296002" TargetMode="External"/><Relationship Id="rId1" Type="http://schemas.openxmlformats.org/officeDocument/2006/relationships/pivotTable" Target="../pivotTables/pivotTable6.xml"/><Relationship Id="rId6" Type="http://schemas.openxmlformats.org/officeDocument/2006/relationships/hyperlink" Target="https://adb-1225054441296002.2.azuredatabricks.net/jobs/847414196180011/runs/1006543015097317?o=1225054441296002" TargetMode="External"/><Relationship Id="rId5" Type="http://schemas.openxmlformats.org/officeDocument/2006/relationships/hyperlink" Target="https://adb-1225054441296002.2.azuredatabricks.net/jobs/847414196180011/runs/465632658412421?o=1225054441296002" TargetMode="External"/><Relationship Id="rId4" Type="http://schemas.openxmlformats.org/officeDocument/2006/relationships/hyperlink" Target="https://adb-1225054441296002.2.azuredatabricks.net/jobs/847414196180011/runs/1095976247855399?o=1225054441296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workbookViewId="0">
      <selection activeCell="C3" sqref="C3"/>
    </sheetView>
  </sheetViews>
  <sheetFormatPr defaultRowHeight="15"/>
  <cols>
    <col min="1" max="1" width="19.42578125" style="2" customWidth="1"/>
    <col min="2" max="2" width="48.28515625" style="2" customWidth="1"/>
    <col min="3" max="3" width="14.28515625" style="2" customWidth="1"/>
    <col min="4" max="4" width="67.28515625" style="2" customWidth="1"/>
    <col min="5" max="5" width="20.7109375" style="2" customWidth="1"/>
    <col min="6" max="6" width="12.140625" style="2" customWidth="1"/>
    <col min="7" max="16384" width="9.140625" style="2"/>
  </cols>
  <sheetData>
    <row r="1" spans="1:6" ht="18.75">
      <c r="A1" s="11" t="s">
        <v>0</v>
      </c>
    </row>
    <row r="2" spans="1:6">
      <c r="A2" s="2" t="s">
        <v>1</v>
      </c>
    </row>
    <row r="3" spans="1:6">
      <c r="A3" s="16" t="s">
        <v>2</v>
      </c>
      <c r="B3" s="16" t="s">
        <v>3</v>
      </c>
      <c r="C3" s="16" t="s">
        <v>4</v>
      </c>
      <c r="D3" s="16" t="s">
        <v>5</v>
      </c>
      <c r="E3" s="12" t="s">
        <v>6</v>
      </c>
      <c r="F3" s="12" t="s">
        <v>7</v>
      </c>
    </row>
    <row r="4" spans="1:6">
      <c r="A4" s="3" t="s">
        <v>8</v>
      </c>
      <c r="B4" s="4" t="s">
        <v>9</v>
      </c>
      <c r="C4" s="7" t="s">
        <v>10</v>
      </c>
      <c r="D4" s="3" t="s">
        <v>1</v>
      </c>
      <c r="E4" s="3"/>
      <c r="F4" s="3"/>
    </row>
    <row r="5" spans="1:6">
      <c r="A5" s="3" t="s">
        <v>8</v>
      </c>
      <c r="B5" s="4" t="s">
        <v>11</v>
      </c>
      <c r="C5" s="3"/>
      <c r="D5" s="3" t="s">
        <v>1</v>
      </c>
      <c r="E5" s="3"/>
      <c r="F5" s="3"/>
    </row>
    <row r="6" spans="1:6">
      <c r="A6" s="3" t="s">
        <v>8</v>
      </c>
      <c r="B6" s="4" t="s">
        <v>12</v>
      </c>
      <c r="C6" s="7" t="s">
        <v>10</v>
      </c>
      <c r="D6" s="3" t="s">
        <v>1</v>
      </c>
      <c r="E6" s="3"/>
      <c r="F6" s="3"/>
    </row>
    <row r="7" spans="1:6">
      <c r="A7" s="3" t="s">
        <v>8</v>
      </c>
      <c r="B7" s="4" t="s">
        <v>13</v>
      </c>
      <c r="C7" s="4"/>
      <c r="D7" s="3" t="s">
        <v>1</v>
      </c>
      <c r="E7" s="3"/>
      <c r="F7" s="3"/>
    </row>
    <row r="8" spans="1:6">
      <c r="A8" s="3" t="s">
        <v>8</v>
      </c>
      <c r="B8" s="4" t="s">
        <v>14</v>
      </c>
      <c r="C8" s="4"/>
      <c r="D8" s="3" t="s">
        <v>1</v>
      </c>
      <c r="E8" s="3"/>
      <c r="F8" s="3"/>
    </row>
    <row r="9" spans="1:6">
      <c r="A9" s="3" t="s">
        <v>8</v>
      </c>
      <c r="B9" s="4" t="s">
        <v>15</v>
      </c>
      <c r="C9" s="7" t="s">
        <v>10</v>
      </c>
      <c r="D9" s="3" t="s">
        <v>1</v>
      </c>
      <c r="E9" s="3"/>
      <c r="F9" s="3"/>
    </row>
    <row r="10" spans="1:6">
      <c r="A10" s="3" t="s">
        <v>8</v>
      </c>
      <c r="B10" s="4" t="s">
        <v>16</v>
      </c>
      <c r="C10" s="7" t="s">
        <v>10</v>
      </c>
      <c r="D10" s="3" t="s">
        <v>1</v>
      </c>
      <c r="E10" s="3"/>
      <c r="F10" s="3"/>
    </row>
    <row r="11" spans="1:6">
      <c r="A11" s="3" t="s">
        <v>17</v>
      </c>
      <c r="B11" s="4" t="s">
        <v>18</v>
      </c>
      <c r="C11" s="4"/>
      <c r="D11" s="3" t="s">
        <v>1</v>
      </c>
      <c r="E11" s="3"/>
      <c r="F11" s="3"/>
    </row>
    <row r="12" spans="1:6">
      <c r="A12" s="3" t="s">
        <v>17</v>
      </c>
      <c r="B12" s="4" t="s">
        <v>19</v>
      </c>
      <c r="C12" s="4"/>
      <c r="D12" s="3" t="s">
        <v>1</v>
      </c>
      <c r="E12" s="3"/>
      <c r="F12" s="3"/>
    </row>
    <row r="13" spans="1:6" ht="68.25" customHeight="1">
      <c r="A13" s="3" t="s">
        <v>17</v>
      </c>
      <c r="B13" s="4" t="s">
        <v>20</v>
      </c>
      <c r="C13" s="9" t="s">
        <v>21</v>
      </c>
      <c r="D13" s="8" t="s">
        <v>22</v>
      </c>
      <c r="E13" s="3" t="s">
        <v>23</v>
      </c>
      <c r="F13" s="3"/>
    </row>
    <row r="14" spans="1:6">
      <c r="A14" s="3" t="s">
        <v>17</v>
      </c>
      <c r="B14" s="4" t="s">
        <v>24</v>
      </c>
      <c r="C14" s="7" t="s">
        <v>10</v>
      </c>
      <c r="D14" s="3" t="s">
        <v>1</v>
      </c>
      <c r="E14" s="3"/>
      <c r="F14" s="3"/>
    </row>
    <row r="15" spans="1:6">
      <c r="A15" s="3" t="s">
        <v>17</v>
      </c>
      <c r="B15" s="4" t="s">
        <v>25</v>
      </c>
      <c r="C15" s="4"/>
      <c r="D15" s="3" t="s">
        <v>1</v>
      </c>
      <c r="E15" s="3"/>
      <c r="F15" s="3"/>
    </row>
    <row r="16" spans="1:6" ht="29.25">
      <c r="A16" s="3" t="s">
        <v>17</v>
      </c>
      <c r="B16" s="4" t="s">
        <v>26</v>
      </c>
      <c r="C16" s="4"/>
      <c r="D16" s="3" t="s">
        <v>1</v>
      </c>
      <c r="E16" s="5" t="s">
        <v>27</v>
      </c>
      <c r="F16" s="3"/>
    </row>
    <row r="17" spans="1:6">
      <c r="A17" s="3" t="s">
        <v>17</v>
      </c>
      <c r="B17" s="4" t="s">
        <v>28</v>
      </c>
      <c r="C17" s="7" t="s">
        <v>10</v>
      </c>
      <c r="D17" s="3" t="s">
        <v>1</v>
      </c>
      <c r="E17" s="3"/>
      <c r="F17" s="3"/>
    </row>
    <row r="18" spans="1:6">
      <c r="A18" s="3" t="s">
        <v>17</v>
      </c>
      <c r="B18" s="4" t="s">
        <v>29</v>
      </c>
      <c r="C18" s="7" t="s">
        <v>10</v>
      </c>
      <c r="D18" s="3" t="s">
        <v>1</v>
      </c>
      <c r="E18" s="3"/>
      <c r="F18" s="3"/>
    </row>
    <row r="19" spans="1:6" ht="29.25">
      <c r="A19" s="3" t="s">
        <v>17</v>
      </c>
      <c r="B19" s="4" t="s">
        <v>30</v>
      </c>
      <c r="C19" s="4"/>
      <c r="D19" s="3" t="s">
        <v>1</v>
      </c>
      <c r="E19" s="5" t="s">
        <v>27</v>
      </c>
      <c r="F19" s="3"/>
    </row>
    <row r="20" spans="1:6">
      <c r="A20" s="3" t="s">
        <v>31</v>
      </c>
      <c r="B20" s="4" t="s">
        <v>32</v>
      </c>
      <c r="C20" s="3"/>
      <c r="D20" s="3" t="s">
        <v>1</v>
      </c>
      <c r="E20" s="3"/>
      <c r="F20" s="3"/>
    </row>
    <row r="21" spans="1:6">
      <c r="A21" s="3" t="s">
        <v>31</v>
      </c>
      <c r="B21" s="4" t="s">
        <v>33</v>
      </c>
      <c r="C21" s="3"/>
      <c r="D21" s="3" t="s">
        <v>1</v>
      </c>
      <c r="E21" s="3"/>
      <c r="F21" s="3"/>
    </row>
    <row r="22" spans="1:6">
      <c r="A22" s="3" t="s">
        <v>31</v>
      </c>
      <c r="B22" s="4" t="s">
        <v>34</v>
      </c>
      <c r="C22" s="3"/>
      <c r="D22" s="3" t="s">
        <v>1</v>
      </c>
      <c r="E22" s="3"/>
      <c r="F22" s="3"/>
    </row>
    <row r="23" spans="1:6" ht="35.25" customHeight="1">
      <c r="A23" s="3" t="s">
        <v>31</v>
      </c>
      <c r="B23" s="4" t="s">
        <v>35</v>
      </c>
      <c r="C23" s="9" t="s">
        <v>21</v>
      </c>
      <c r="D23" s="8" t="s">
        <v>36</v>
      </c>
      <c r="E23" s="5" t="s">
        <v>37</v>
      </c>
      <c r="F23" s="3"/>
    </row>
    <row r="24" spans="1:6">
      <c r="A24" s="3" t="s">
        <v>31</v>
      </c>
      <c r="B24" s="4" t="s">
        <v>38</v>
      </c>
      <c r="C24" s="3"/>
      <c r="D24" s="3" t="s">
        <v>1</v>
      </c>
      <c r="E24" s="3"/>
      <c r="F24" s="3"/>
    </row>
    <row r="25" spans="1:6">
      <c r="A25" s="3" t="s">
        <v>31</v>
      </c>
      <c r="B25" s="4" t="s">
        <v>39</v>
      </c>
      <c r="C25" s="3"/>
      <c r="D25" s="3" t="s">
        <v>1</v>
      </c>
      <c r="E25" s="3"/>
      <c r="F25" s="3"/>
    </row>
    <row r="26" spans="1:6">
      <c r="A26" s="3" t="s">
        <v>31</v>
      </c>
      <c r="B26" s="4" t="s">
        <v>40</v>
      </c>
      <c r="C26" s="3"/>
      <c r="D26" s="3" t="s">
        <v>1</v>
      </c>
      <c r="E26" s="3"/>
      <c r="F26" s="3"/>
    </row>
    <row r="27" spans="1:6">
      <c r="A27" s="3" t="s">
        <v>31</v>
      </c>
      <c r="B27" s="4" t="s">
        <v>41</v>
      </c>
      <c r="C27" s="3"/>
      <c r="D27" s="3" t="s">
        <v>1</v>
      </c>
      <c r="E27" s="3"/>
      <c r="F27" s="3"/>
    </row>
    <row r="28" spans="1:6">
      <c r="A28" s="3" t="s">
        <v>31</v>
      </c>
      <c r="B28" s="4" t="s">
        <v>42</v>
      </c>
      <c r="C28" s="3"/>
      <c r="D28" s="3" t="s">
        <v>1</v>
      </c>
      <c r="E28" s="3"/>
      <c r="F28" s="3"/>
    </row>
    <row r="29" spans="1:6">
      <c r="A29" s="2" t="s">
        <v>1</v>
      </c>
    </row>
  </sheetData>
  <autoFilter ref="A3:E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8D97-0C1D-422C-942E-303F82C07E56}">
  <sheetPr>
    <tabColor rgb="FF0070C0"/>
  </sheetPr>
  <dimension ref="A1:AT126"/>
  <sheetViews>
    <sheetView showGridLines="0" tabSelected="1" workbookViewId="0">
      <pane xSplit="2" ySplit="1" topLeftCell="G42" activePane="bottomRight" state="frozen"/>
      <selection pane="bottomRight"/>
      <selection pane="bottomLeft"/>
      <selection pane="topRight"/>
    </sheetView>
  </sheetViews>
  <sheetFormatPr defaultRowHeight="15" customHeight="1"/>
  <cols>
    <col min="1" max="1" width="14.7109375" style="2" customWidth="1"/>
    <col min="2" max="2" width="55.28515625" style="2" customWidth="1"/>
    <col min="3" max="3" width="25.85546875" style="2" customWidth="1"/>
    <col min="4" max="4" width="25.7109375" style="2" customWidth="1"/>
    <col min="5" max="5" width="25.7109375" style="17" customWidth="1"/>
    <col min="6" max="8" width="68.28515625" style="2" customWidth="1"/>
    <col min="9" max="9" width="24.42578125" style="2" customWidth="1"/>
    <col min="10" max="10" width="30.5703125" style="2" customWidth="1"/>
    <col min="11" max="11" width="30.5703125" style="147" customWidth="1"/>
    <col min="12" max="13" width="9.140625" style="147"/>
    <col min="14" max="16384" width="9.140625" style="2"/>
  </cols>
  <sheetData>
    <row r="1" spans="1:13" ht="15" customHeight="1">
      <c r="A1" s="21" t="s">
        <v>43</v>
      </c>
      <c r="B1" s="21" t="s">
        <v>3</v>
      </c>
      <c r="C1" s="21" t="s">
        <v>44</v>
      </c>
      <c r="D1" s="21" t="s">
        <v>45</v>
      </c>
      <c r="E1" s="58" t="s">
        <v>46</v>
      </c>
      <c r="F1" s="21" t="s">
        <v>47</v>
      </c>
      <c r="G1" s="21" t="s">
        <v>48</v>
      </c>
      <c r="H1" s="62" t="s">
        <v>49</v>
      </c>
      <c r="I1" s="10" t="s">
        <v>50</v>
      </c>
      <c r="J1" s="10" t="s">
        <v>51</v>
      </c>
      <c r="K1" s="145" t="s">
        <v>52</v>
      </c>
      <c r="L1" s="145" t="s">
        <v>53</v>
      </c>
      <c r="M1" s="145" t="s">
        <v>54</v>
      </c>
    </row>
    <row r="2" spans="1:13" customFormat="1" hidden="1">
      <c r="A2" s="13" t="s">
        <v>55</v>
      </c>
      <c r="B2" s="13" t="s">
        <v>56</v>
      </c>
      <c r="C2" s="13" t="s">
        <v>57</v>
      </c>
      <c r="D2" s="13" t="s">
        <v>58</v>
      </c>
      <c r="E2" s="18" t="s">
        <v>59</v>
      </c>
      <c r="F2" s="14" t="s">
        <v>60</v>
      </c>
      <c r="G2" s="14"/>
      <c r="H2" s="14" t="s">
        <v>60</v>
      </c>
      <c r="I2" s="5" t="s">
        <v>61</v>
      </c>
      <c r="J2" s="3" t="s">
        <v>62</v>
      </c>
      <c r="K2" s="146" t="b">
        <f>ISNUMBER(MATCH(B2,Batch!A:A,0))</f>
        <v>0</v>
      </c>
      <c r="L2" s="146" t="b">
        <f>ISNUMBER(MATCH(B2,Batch!B:B,0))</f>
        <v>1</v>
      </c>
      <c r="M2" s="146" t="b">
        <f>ISNUMBER(MATCH(B2,passed!A:A,0))</f>
        <v>0</v>
      </c>
    </row>
    <row r="3" spans="1:13" customFormat="1" ht="30.75" hidden="1">
      <c r="A3" s="13" t="s">
        <v>63</v>
      </c>
      <c r="B3" s="49" t="s">
        <v>64</v>
      </c>
      <c r="C3" s="13" t="s">
        <v>65</v>
      </c>
      <c r="D3" s="13" t="s">
        <v>58</v>
      </c>
      <c r="E3" s="18">
        <v>45363</v>
      </c>
      <c r="F3" s="14" t="s">
        <v>66</v>
      </c>
      <c r="G3" s="135" t="s">
        <v>67</v>
      </c>
      <c r="H3" s="53" t="s">
        <v>68</v>
      </c>
      <c r="I3" s="5" t="s">
        <v>69</v>
      </c>
      <c r="J3" s="3" t="s">
        <v>70</v>
      </c>
      <c r="K3" s="146" t="b">
        <f>ISNUMBER(MATCH(B3,Batch!A:A,0))</f>
        <v>0</v>
      </c>
      <c r="L3" s="146" t="b">
        <f>ISNUMBER(MATCH(B3,Batch!B:B,0))</f>
        <v>1</v>
      </c>
      <c r="M3" s="146" t="b">
        <f>ISNUMBER(MATCH(B3,passed!A:A,0))</f>
        <v>0</v>
      </c>
    </row>
    <row r="4" spans="1:13" customFormat="1" ht="201.75" hidden="1">
      <c r="A4" s="14" t="s">
        <v>71</v>
      </c>
      <c r="B4" s="14" t="s">
        <v>72</v>
      </c>
      <c r="C4" s="14" t="s">
        <v>57</v>
      </c>
      <c r="D4" s="14" t="s">
        <v>58</v>
      </c>
      <c r="E4" s="18"/>
      <c r="F4" s="23" t="s">
        <v>73</v>
      </c>
      <c r="G4" s="119" t="s">
        <v>74</v>
      </c>
      <c r="H4" s="53" t="s">
        <v>75</v>
      </c>
      <c r="I4" s="15" t="s">
        <v>61</v>
      </c>
      <c r="J4" s="5" t="s">
        <v>76</v>
      </c>
      <c r="K4" s="146" t="b">
        <f>ISNUMBER(MATCH(B4,Batch!A:A,0))</f>
        <v>0</v>
      </c>
      <c r="L4" s="146" t="b">
        <f>ISNUMBER(MATCH(B4,Batch!B:B,0))</f>
        <v>1</v>
      </c>
      <c r="M4" s="146" t="b">
        <f>ISNUMBER(MATCH(B4,passed!A:A,0))</f>
        <v>0</v>
      </c>
    </row>
    <row r="5" spans="1:13" customFormat="1" ht="30.75" hidden="1">
      <c r="A5" s="13" t="s">
        <v>77</v>
      </c>
      <c r="B5" s="13" t="s">
        <v>78</v>
      </c>
      <c r="C5" s="13" t="s">
        <v>57</v>
      </c>
      <c r="D5" s="13" t="s">
        <v>58</v>
      </c>
      <c r="E5" s="18"/>
      <c r="F5" s="14" t="s">
        <v>79</v>
      </c>
      <c r="G5" s="14"/>
      <c r="H5" s="14" t="s">
        <v>80</v>
      </c>
      <c r="I5" s="5" t="s">
        <v>81</v>
      </c>
      <c r="J5" s="3" t="s">
        <v>82</v>
      </c>
      <c r="K5" s="146" t="b">
        <f>ISNUMBER(MATCH(B5,Batch!A:A,0))</f>
        <v>0</v>
      </c>
      <c r="L5" s="146" t="b">
        <f>ISNUMBER(MATCH(B5,Batch!B:B,0))</f>
        <v>1</v>
      </c>
      <c r="M5" s="146" t="b">
        <f>ISNUMBER(MATCH(B5,passed!A:A,0))</f>
        <v>0</v>
      </c>
    </row>
    <row r="6" spans="1:13" customFormat="1" hidden="1">
      <c r="A6" s="13" t="s">
        <v>83</v>
      </c>
      <c r="B6" s="13" t="s">
        <v>84</v>
      </c>
      <c r="C6" s="13" t="s">
        <v>85</v>
      </c>
      <c r="D6" s="13" t="s">
        <v>58</v>
      </c>
      <c r="E6" s="18"/>
      <c r="F6" s="14" t="s">
        <v>86</v>
      </c>
      <c r="G6" s="14"/>
      <c r="H6" s="49" t="s">
        <v>87</v>
      </c>
      <c r="I6" s="15" t="s">
        <v>88</v>
      </c>
      <c r="J6" s="3" t="s">
        <v>76</v>
      </c>
      <c r="K6" s="146" t="b">
        <f>ISNUMBER(MATCH(B6,Batch!A:A,0))</f>
        <v>0</v>
      </c>
      <c r="L6" s="146" t="b">
        <f>ISNUMBER(MATCH(B6,Batch!B:B,0))</f>
        <v>1</v>
      </c>
      <c r="M6" s="146" t="b">
        <f>ISNUMBER(MATCH(B6,passed!A:A,0))</f>
        <v>0</v>
      </c>
    </row>
    <row r="7" spans="1:13" customFormat="1" hidden="1">
      <c r="A7" s="13" t="s">
        <v>83</v>
      </c>
      <c r="B7" s="13" t="s">
        <v>89</v>
      </c>
      <c r="C7" s="13" t="s">
        <v>85</v>
      </c>
      <c r="D7" s="13" t="s">
        <v>58</v>
      </c>
      <c r="E7" s="18"/>
      <c r="F7" s="14" t="s">
        <v>90</v>
      </c>
      <c r="G7" s="14"/>
      <c r="H7" s="49" t="s">
        <v>87</v>
      </c>
      <c r="I7" s="15" t="s">
        <v>88</v>
      </c>
      <c r="J7" s="3" t="s">
        <v>76</v>
      </c>
      <c r="K7" s="146" t="b">
        <f>ISNUMBER(MATCH(B7,Batch!A:A,0))</f>
        <v>0</v>
      </c>
      <c r="L7" s="146" t="b">
        <f>ISNUMBER(MATCH(B7,Batch!B:B,0))</f>
        <v>1</v>
      </c>
      <c r="M7" s="146" t="b">
        <f>ISNUMBER(MATCH(B7,passed!A:A,0))</f>
        <v>0</v>
      </c>
    </row>
    <row r="8" spans="1:13" customFormat="1" hidden="1">
      <c r="A8" s="13" t="s">
        <v>83</v>
      </c>
      <c r="B8" s="13" t="s">
        <v>91</v>
      </c>
      <c r="C8" s="13" t="s">
        <v>85</v>
      </c>
      <c r="D8" s="13" t="s">
        <v>58</v>
      </c>
      <c r="E8" s="18"/>
      <c r="F8" s="14" t="s">
        <v>92</v>
      </c>
      <c r="G8" s="14"/>
      <c r="H8" s="49" t="s">
        <v>87</v>
      </c>
      <c r="I8" s="15" t="s">
        <v>88</v>
      </c>
      <c r="J8" s="3" t="s">
        <v>76</v>
      </c>
      <c r="K8" s="146" t="b">
        <f>ISNUMBER(MATCH(B8,Batch!A:A,0))</f>
        <v>0</v>
      </c>
      <c r="L8" s="146" t="b">
        <f>ISNUMBER(MATCH(B8,Batch!B:B,0))</f>
        <v>1</v>
      </c>
      <c r="M8" s="146" t="b">
        <f>ISNUMBER(MATCH(B8,passed!A:A,0))</f>
        <v>0</v>
      </c>
    </row>
    <row r="9" spans="1:13" customFormat="1" hidden="1">
      <c r="A9" s="13" t="s">
        <v>83</v>
      </c>
      <c r="B9" s="13" t="s">
        <v>93</v>
      </c>
      <c r="C9" s="13" t="s">
        <v>57</v>
      </c>
      <c r="D9" s="13" t="s">
        <v>58</v>
      </c>
      <c r="E9" s="18"/>
      <c r="F9" s="14" t="s">
        <v>94</v>
      </c>
      <c r="G9" s="135" t="s">
        <v>95</v>
      </c>
      <c r="H9" s="14" t="s">
        <v>96</v>
      </c>
      <c r="I9" s="130" t="s">
        <v>97</v>
      </c>
      <c r="J9" s="5" t="s">
        <v>98</v>
      </c>
      <c r="K9" s="146" t="b">
        <f>ISNUMBER(MATCH(B9,Batch!A:A,0))</f>
        <v>0</v>
      </c>
      <c r="L9" s="146" t="b">
        <f>ISNUMBER(MATCH(B9,Batch!B:B,0))</f>
        <v>1</v>
      </c>
      <c r="M9" s="146" t="b">
        <f>ISNUMBER(MATCH(B9,passed!A:A,0))</f>
        <v>0</v>
      </c>
    </row>
    <row r="10" spans="1:13" customFormat="1" hidden="1">
      <c r="A10" s="13" t="s">
        <v>83</v>
      </c>
      <c r="B10" s="13" t="s">
        <v>99</v>
      </c>
      <c r="C10" s="13" t="s">
        <v>85</v>
      </c>
      <c r="D10" s="13" t="s">
        <v>58</v>
      </c>
      <c r="E10" s="18"/>
      <c r="F10" s="14" t="s">
        <v>100</v>
      </c>
      <c r="G10" s="14"/>
      <c r="H10" s="49" t="s">
        <v>87</v>
      </c>
      <c r="I10" s="15" t="s">
        <v>88</v>
      </c>
      <c r="J10" s="3" t="s">
        <v>76</v>
      </c>
      <c r="K10" s="146" t="b">
        <f>ISNUMBER(MATCH(B10,Batch!A:A,0))</f>
        <v>0</v>
      </c>
      <c r="L10" s="146" t="b">
        <f>ISNUMBER(MATCH(B10,Batch!B:B,0))</f>
        <v>1</v>
      </c>
      <c r="M10" s="146" t="b">
        <f>ISNUMBER(MATCH(B10,passed!A:A,0))</f>
        <v>0</v>
      </c>
    </row>
    <row r="11" spans="1:13" customFormat="1" ht="76.5" hidden="1">
      <c r="A11" s="13" t="s">
        <v>83</v>
      </c>
      <c r="B11" s="13" t="s">
        <v>101</v>
      </c>
      <c r="C11" s="13" t="s">
        <v>85</v>
      </c>
      <c r="D11" s="13" t="s">
        <v>58</v>
      </c>
      <c r="E11" s="18"/>
      <c r="F11" s="14" t="s">
        <v>102</v>
      </c>
      <c r="G11" s="135" t="s">
        <v>103</v>
      </c>
      <c r="H11" s="14" t="s">
        <v>104</v>
      </c>
      <c r="I11" s="5" t="s">
        <v>97</v>
      </c>
      <c r="J11" s="3" t="s">
        <v>76</v>
      </c>
      <c r="K11" s="146" t="b">
        <f>ISNUMBER(MATCH(B11,Batch!A:A,0))</f>
        <v>0</v>
      </c>
      <c r="L11" s="146" t="b">
        <f>ISNUMBER(MATCH(B11,Batch!B:B,0))</f>
        <v>1</v>
      </c>
      <c r="M11" s="146" t="b">
        <f>ISNUMBER(MATCH(B11,passed!A:A,0))</f>
        <v>0</v>
      </c>
    </row>
    <row r="12" spans="1:13" customFormat="1" ht="216.75" hidden="1">
      <c r="A12" s="13" t="s">
        <v>8</v>
      </c>
      <c r="B12" s="13" t="s">
        <v>13</v>
      </c>
      <c r="C12" s="13" t="s">
        <v>105</v>
      </c>
      <c r="D12" s="13" t="s">
        <v>58</v>
      </c>
      <c r="E12" s="18">
        <v>45372</v>
      </c>
      <c r="F12" s="119" t="s">
        <v>106</v>
      </c>
      <c r="G12" s="87" t="s">
        <v>107</v>
      </c>
      <c r="H12" s="49" t="s">
        <v>87</v>
      </c>
      <c r="I12" s="5" t="s">
        <v>108</v>
      </c>
      <c r="J12" s="5" t="s">
        <v>76</v>
      </c>
      <c r="K12" s="146" t="b">
        <f>ISNUMBER(MATCH(B12,Batch!A:A,0))</f>
        <v>0</v>
      </c>
      <c r="L12" s="146" t="b">
        <f>ISNUMBER(MATCH(B12,Batch!B:B,0))</f>
        <v>1</v>
      </c>
      <c r="M12" s="146" t="b">
        <f>ISNUMBER(MATCH(B12,passed!A:A,0))</f>
        <v>0</v>
      </c>
    </row>
    <row r="13" spans="1:13" customFormat="1" ht="91.5" hidden="1">
      <c r="A13" s="13" t="s">
        <v>55</v>
      </c>
      <c r="B13" s="13" t="s">
        <v>109</v>
      </c>
      <c r="C13" s="13" t="s">
        <v>57</v>
      </c>
      <c r="D13" s="13" t="s">
        <v>10</v>
      </c>
      <c r="E13" s="18">
        <v>45378</v>
      </c>
      <c r="F13" s="14" t="s">
        <v>110</v>
      </c>
      <c r="G13" s="24" t="s">
        <v>111</v>
      </c>
      <c r="H13" s="14" t="s">
        <v>10</v>
      </c>
      <c r="I13" s="54"/>
      <c r="J13" s="3"/>
      <c r="K13" s="146" t="b">
        <f>ISNUMBER(MATCH(B13,Batch!A:A,0))</f>
        <v>1</v>
      </c>
      <c r="L13" s="146" t="b">
        <f>ISNUMBER(MATCH(B13,Batch!B:B,0))</f>
        <v>0</v>
      </c>
      <c r="M13" s="146" t="b">
        <f>ISNUMBER(MATCH(B13,passed!A:A,0))</f>
        <v>1</v>
      </c>
    </row>
    <row r="14" spans="1:13" customFormat="1" ht="45.75" hidden="1">
      <c r="A14" s="13" t="s">
        <v>55</v>
      </c>
      <c r="B14" s="13" t="s">
        <v>112</v>
      </c>
      <c r="C14" s="13" t="s">
        <v>57</v>
      </c>
      <c r="D14" s="13" t="s">
        <v>58</v>
      </c>
      <c r="E14" s="18"/>
      <c r="F14" s="14" t="s">
        <v>113</v>
      </c>
      <c r="G14" s="8" t="s">
        <v>114</v>
      </c>
      <c r="H14" s="49" t="s">
        <v>87</v>
      </c>
      <c r="I14" s="116" t="s">
        <v>115</v>
      </c>
      <c r="J14" s="3" t="s">
        <v>116</v>
      </c>
      <c r="K14" s="146" t="b">
        <f>ISNUMBER(MATCH(B14,Batch!A:A,0))</f>
        <v>0</v>
      </c>
      <c r="L14" s="146" t="b">
        <f>ISNUMBER(MATCH(B14,Batch!B:B,0))</f>
        <v>1</v>
      </c>
      <c r="M14" s="146" t="b">
        <f>ISNUMBER(MATCH(B14,passed!A:A,0))</f>
        <v>0</v>
      </c>
    </row>
    <row r="15" spans="1:13" customFormat="1" ht="244.5" hidden="1">
      <c r="A15" s="13" t="s">
        <v>63</v>
      </c>
      <c r="B15" s="13" t="s">
        <v>117</v>
      </c>
      <c r="C15" s="13" t="s">
        <v>65</v>
      </c>
      <c r="D15" s="13" t="s">
        <v>118</v>
      </c>
      <c r="E15" s="18"/>
      <c r="F15" s="53" t="s">
        <v>119</v>
      </c>
      <c r="G15" s="53" t="s">
        <v>120</v>
      </c>
      <c r="H15" s="49" t="s">
        <v>87</v>
      </c>
      <c r="I15" s="131"/>
      <c r="J15" s="110"/>
      <c r="K15" s="146" t="b">
        <f>ISNUMBER(MATCH(B15,Batch!A:A,0))</f>
        <v>0</v>
      </c>
      <c r="L15" s="146" t="b">
        <f>ISNUMBER(MATCH(B15,Batch!B:B,0))</f>
        <v>1</v>
      </c>
      <c r="M15" s="146" t="b">
        <f>ISNUMBER(MATCH(B15,passed!A:A,0))</f>
        <v>0</v>
      </c>
    </row>
    <row r="16" spans="1:13" customFormat="1" ht="259.5" hidden="1">
      <c r="A16" s="13" t="s">
        <v>63</v>
      </c>
      <c r="B16" s="13" t="s">
        <v>121</v>
      </c>
      <c r="C16" s="13" t="s">
        <v>65</v>
      </c>
      <c r="D16" s="13" t="s">
        <v>58</v>
      </c>
      <c r="E16" s="18"/>
      <c r="F16" s="126" t="s">
        <v>122</v>
      </c>
      <c r="G16" s="110" t="s">
        <v>123</v>
      </c>
      <c r="H16" s="53" t="s">
        <v>124</v>
      </c>
      <c r="I16" s="15" t="s">
        <v>61</v>
      </c>
      <c r="J16" s="110" t="s">
        <v>76</v>
      </c>
      <c r="K16" s="146" t="b">
        <f>ISNUMBER(MATCH(B16,Batch!A:A,0))</f>
        <v>0</v>
      </c>
      <c r="L16" s="146" t="b">
        <f>ISNUMBER(MATCH(B16,Batch!B:B,0))</f>
        <v>1</v>
      </c>
      <c r="M16" s="146" t="b">
        <f>ISNUMBER(MATCH(B16,passed!A:A,0))</f>
        <v>0</v>
      </c>
    </row>
    <row r="17" spans="1:46" customFormat="1" ht="29.25" hidden="1">
      <c r="A17" s="13" t="s">
        <v>125</v>
      </c>
      <c r="B17" s="13" t="s">
        <v>126</v>
      </c>
      <c r="C17" s="13" t="s">
        <v>57</v>
      </c>
      <c r="D17" s="13" t="s">
        <v>118</v>
      </c>
      <c r="E17" s="18">
        <v>45268</v>
      </c>
      <c r="F17" s="19" t="s">
        <v>127</v>
      </c>
      <c r="G17" s="14" t="s">
        <v>128</v>
      </c>
      <c r="H17" s="14" t="s">
        <v>10</v>
      </c>
      <c r="I17" s="120"/>
      <c r="J17" s="3"/>
      <c r="K17" s="146" t="b">
        <f>ISNUMBER(MATCH(B17,Batch!A:A,0))</f>
        <v>1</v>
      </c>
      <c r="L17" s="146" t="b">
        <f>ISNUMBER(MATCH(B17,Batch!B:B,0))</f>
        <v>0</v>
      </c>
      <c r="M17" s="146" t="b">
        <f>ISNUMBER(MATCH(B17,passed!A:A,0))</f>
        <v>0</v>
      </c>
    </row>
    <row r="18" spans="1:46" customFormat="1" ht="174" hidden="1">
      <c r="A18" s="13" t="s">
        <v>129</v>
      </c>
      <c r="B18" s="13" t="s">
        <v>130</v>
      </c>
      <c r="C18" s="13" t="s">
        <v>57</v>
      </c>
      <c r="D18" s="13" t="s">
        <v>58</v>
      </c>
      <c r="E18" s="18">
        <v>45351</v>
      </c>
      <c r="F18" s="23" t="s">
        <v>131</v>
      </c>
      <c r="G18" s="115" t="s">
        <v>132</v>
      </c>
      <c r="H18" s="49" t="s">
        <v>87</v>
      </c>
      <c r="I18" s="116" t="s">
        <v>115</v>
      </c>
      <c r="J18" s="3" t="s">
        <v>116</v>
      </c>
      <c r="K18" s="146" t="b">
        <f>ISNUMBER(MATCH(B18,Batch!A:A,0))</f>
        <v>0</v>
      </c>
      <c r="L18" s="146" t="b">
        <f>ISNUMBER(MATCH(B18,Batch!B:B,0))</f>
        <v>1</v>
      </c>
      <c r="M18" s="146" t="b">
        <f>ISNUMBER(MATCH(B18,passed!A:A,0))</f>
        <v>0</v>
      </c>
    </row>
    <row r="19" spans="1:46" s="1" customFormat="1" ht="45.75" hidden="1">
      <c r="A19" s="13" t="s">
        <v>133</v>
      </c>
      <c r="B19" s="13" t="s">
        <v>134</v>
      </c>
      <c r="C19" s="13" t="s">
        <v>57</v>
      </c>
      <c r="D19" s="13" t="s">
        <v>118</v>
      </c>
      <c r="E19" s="27" t="s">
        <v>135</v>
      </c>
      <c r="F19" s="14" t="s">
        <v>136</v>
      </c>
      <c r="G19" s="119" t="s">
        <v>137</v>
      </c>
      <c r="H19" s="14"/>
      <c r="I19" s="131"/>
      <c r="J19" s="3" t="s">
        <v>138</v>
      </c>
      <c r="K19" s="146" t="b">
        <f>ISNUMBER(MATCH(B19,Batch!A:A,0))</f>
        <v>0</v>
      </c>
      <c r="L19" s="146" t="b">
        <f>ISNUMBER(MATCH(B19,Batch!B:B,0))</f>
        <v>1</v>
      </c>
      <c r="M19" s="146" t="b">
        <f>ISNUMBER(MATCH(B19,passed!A:A,0))</f>
        <v>0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s="86"/>
    </row>
    <row r="20" spans="1:46" customFormat="1" ht="115.5" hidden="1">
      <c r="A20" s="13" t="s">
        <v>133</v>
      </c>
      <c r="B20" s="13" t="s">
        <v>139</v>
      </c>
      <c r="C20" s="13" t="s">
        <v>65</v>
      </c>
      <c r="D20" s="49" t="s">
        <v>10</v>
      </c>
      <c r="E20" s="18" t="s">
        <v>140</v>
      </c>
      <c r="F20" s="14" t="s">
        <v>141</v>
      </c>
      <c r="G20" s="119" t="s">
        <v>142</v>
      </c>
      <c r="H20" s="14" t="s">
        <v>10</v>
      </c>
      <c r="I20" s="54"/>
      <c r="J20" s="3" t="s">
        <v>143</v>
      </c>
      <c r="K20" s="146" t="b">
        <f>ISNUMBER(MATCH(B20,Batch!A:A,0))</f>
        <v>1</v>
      </c>
      <c r="L20" s="146" t="b">
        <f>ISNUMBER(MATCH(B20,Batch!B:B,0))</f>
        <v>0</v>
      </c>
      <c r="M20" s="146" t="b">
        <f>ISNUMBER(MATCH(B20,passed!A:A,0))</f>
        <v>1</v>
      </c>
    </row>
    <row r="21" spans="1:46" customFormat="1" ht="261">
      <c r="A21" s="13" t="s">
        <v>17</v>
      </c>
      <c r="B21" s="13" t="s">
        <v>26</v>
      </c>
      <c r="C21" s="13" t="s">
        <v>105</v>
      </c>
      <c r="D21" s="13" t="s">
        <v>21</v>
      </c>
      <c r="E21" s="18" t="s">
        <v>144</v>
      </c>
      <c r="F21" s="53" t="s">
        <v>145</v>
      </c>
      <c r="G21" s="53" t="s">
        <v>146</v>
      </c>
      <c r="H21" s="49" t="s">
        <v>87</v>
      </c>
      <c r="I21" s="63" t="s">
        <v>147</v>
      </c>
      <c r="J21" s="63" t="s">
        <v>148</v>
      </c>
      <c r="K21" s="146" t="b">
        <f>ISNUMBER(MATCH(B21,Batch!A:A,0))</f>
        <v>0</v>
      </c>
      <c r="L21" s="146" t="b">
        <f>ISNUMBER(MATCH(B21,Batch!B:B,0))</f>
        <v>1</v>
      </c>
      <c r="M21" s="146" t="b">
        <f>ISNUMBER(MATCH(B21,passed!A:A,0))</f>
        <v>0</v>
      </c>
    </row>
    <row r="22" spans="1:46" customFormat="1" ht="76.5">
      <c r="A22" s="13" t="s">
        <v>17</v>
      </c>
      <c r="B22" s="13" t="s">
        <v>149</v>
      </c>
      <c r="C22" s="13" t="s">
        <v>105</v>
      </c>
      <c r="D22" s="13" t="s">
        <v>21</v>
      </c>
      <c r="E22" s="136"/>
      <c r="F22" s="14" t="s">
        <v>150</v>
      </c>
      <c r="G22" s="14" t="s">
        <v>151</v>
      </c>
      <c r="H22" s="49" t="s">
        <v>87</v>
      </c>
      <c r="I22" s="63" t="s">
        <v>147</v>
      </c>
      <c r="J22" s="63" t="s">
        <v>148</v>
      </c>
      <c r="K22" s="146" t="b">
        <f>ISNUMBER(MATCH(B22,Batch!A:A,0))</f>
        <v>0</v>
      </c>
      <c r="L22" s="146" t="b">
        <f>ISNUMBER(MATCH(B22,Batch!B:B,0))</f>
        <v>1</v>
      </c>
      <c r="M22" s="146" t="b">
        <f>ISNUMBER(MATCH(B22,passed!A:A,0))</f>
        <v>0</v>
      </c>
    </row>
    <row r="23" spans="1:46" customFormat="1" ht="336" hidden="1">
      <c r="A23" s="14" t="s">
        <v>71</v>
      </c>
      <c r="B23" s="14" t="s">
        <v>152</v>
      </c>
      <c r="C23" s="14" t="s">
        <v>57</v>
      </c>
      <c r="D23" s="137" t="s">
        <v>58</v>
      </c>
      <c r="E23" s="18">
        <v>45077</v>
      </c>
      <c r="F23" s="138" t="s">
        <v>153</v>
      </c>
      <c r="G23" s="53"/>
      <c r="H23" s="53" t="s">
        <v>154</v>
      </c>
      <c r="I23" s="15" t="s">
        <v>61</v>
      </c>
      <c r="J23" s="5" t="s">
        <v>62</v>
      </c>
      <c r="K23" s="146" t="b">
        <f>ISNUMBER(MATCH(B23,Batch!A:A,0))</f>
        <v>0</v>
      </c>
      <c r="L23" s="146" t="b">
        <f>ISNUMBER(MATCH(B23,Batch!B:B,0))</f>
        <v>1</v>
      </c>
      <c r="M23" s="146" t="b">
        <f>ISNUMBER(MATCH(B23,passed!A:A,0))</f>
        <v>0</v>
      </c>
    </row>
    <row r="24" spans="1:46" customFormat="1" ht="60.75" hidden="1">
      <c r="A24" s="13" t="s">
        <v>31</v>
      </c>
      <c r="B24" s="13" t="s">
        <v>32</v>
      </c>
      <c r="C24" s="13" t="s">
        <v>105</v>
      </c>
      <c r="D24" s="13" t="s">
        <v>58</v>
      </c>
      <c r="E24" s="18">
        <v>45379</v>
      </c>
      <c r="F24" s="14" t="s">
        <v>155</v>
      </c>
      <c r="G24" s="14" t="s">
        <v>156</v>
      </c>
      <c r="H24" s="14" t="s">
        <v>104</v>
      </c>
      <c r="I24" s="116" t="s">
        <v>115</v>
      </c>
      <c r="J24" s="63" t="s">
        <v>116</v>
      </c>
      <c r="K24" s="146" t="b">
        <f>ISNUMBER(MATCH(B24,Batch!A:A,0))</f>
        <v>0</v>
      </c>
      <c r="L24" s="146" t="b">
        <f>ISNUMBER(MATCH(B24,Batch!B:B,0))</f>
        <v>1</v>
      </c>
      <c r="M24" s="146" t="b">
        <f>ISNUMBER(MATCH(B24,passed!A:A,0))</f>
        <v>0</v>
      </c>
    </row>
    <row r="25" spans="1:46" customFormat="1" ht="60.75" hidden="1">
      <c r="A25" s="13" t="s">
        <v>31</v>
      </c>
      <c r="B25" s="13" t="s">
        <v>33</v>
      </c>
      <c r="C25" s="13" t="s">
        <v>105</v>
      </c>
      <c r="D25" s="13" t="s">
        <v>58</v>
      </c>
      <c r="E25" s="18">
        <v>45379</v>
      </c>
      <c r="F25" s="14" t="s">
        <v>157</v>
      </c>
      <c r="G25" s="14" t="s">
        <v>156</v>
      </c>
      <c r="H25" s="14" t="s">
        <v>104</v>
      </c>
      <c r="I25" s="116" t="s">
        <v>115</v>
      </c>
      <c r="J25" s="63" t="s">
        <v>116</v>
      </c>
      <c r="K25" s="146" t="b">
        <f>ISNUMBER(MATCH(B25,Batch!A:A,0))</f>
        <v>0</v>
      </c>
      <c r="L25" s="146" t="b">
        <f>ISNUMBER(MATCH(B25,Batch!B:B,0))</f>
        <v>1</v>
      </c>
      <c r="M25" s="146" t="b">
        <f>ISNUMBER(MATCH(B25,passed!A:A,0))</f>
        <v>0</v>
      </c>
    </row>
    <row r="26" spans="1:46" customFormat="1" ht="130.5" hidden="1">
      <c r="A26" s="13" t="s">
        <v>31</v>
      </c>
      <c r="B26" s="13" t="s">
        <v>34</v>
      </c>
      <c r="C26" s="13" t="s">
        <v>105</v>
      </c>
      <c r="D26" s="13" t="s">
        <v>58</v>
      </c>
      <c r="E26" s="18">
        <v>45379</v>
      </c>
      <c r="F26" s="23" t="s">
        <v>158</v>
      </c>
      <c r="G26" s="14" t="s">
        <v>156</v>
      </c>
      <c r="H26" s="14" t="s">
        <v>104</v>
      </c>
      <c r="I26" s="5" t="s">
        <v>97</v>
      </c>
      <c r="J26" s="14" t="s">
        <v>76</v>
      </c>
      <c r="K26" s="146" t="b">
        <f>ISNUMBER(MATCH(B26,Batch!A:A,0))</f>
        <v>0</v>
      </c>
      <c r="L26" s="146" t="b">
        <f>ISNUMBER(MATCH(B26,Batch!B:B,0))</f>
        <v>1</v>
      </c>
      <c r="M26" s="146" t="b">
        <f>ISNUMBER(MATCH(B26,passed!A:A,0))</f>
        <v>0</v>
      </c>
    </row>
    <row r="27" spans="1:46" customFormat="1" ht="60.75" hidden="1">
      <c r="A27" s="13" t="s">
        <v>31</v>
      </c>
      <c r="B27" s="13" t="s">
        <v>38</v>
      </c>
      <c r="C27" s="13" t="s">
        <v>105</v>
      </c>
      <c r="D27" s="13" t="s">
        <v>58</v>
      </c>
      <c r="E27" s="18">
        <v>45379</v>
      </c>
      <c r="F27" s="109" t="s">
        <v>159</v>
      </c>
      <c r="G27" s="14" t="s">
        <v>156</v>
      </c>
      <c r="H27" s="14" t="s">
        <v>104</v>
      </c>
      <c r="I27" s="116" t="s">
        <v>115</v>
      </c>
      <c r="J27" s="63" t="s">
        <v>116</v>
      </c>
      <c r="K27" s="146" t="b">
        <f>ISNUMBER(MATCH(B27,Batch!A:A,0))</f>
        <v>0</v>
      </c>
      <c r="L27" s="146" t="b">
        <f>ISNUMBER(MATCH(B27,Batch!B:B,0))</f>
        <v>1</v>
      </c>
      <c r="M27" s="146" t="b">
        <f>ISNUMBER(MATCH(B27,passed!A:A,0))</f>
        <v>0</v>
      </c>
    </row>
    <row r="28" spans="1:46" customFormat="1" ht="183" hidden="1">
      <c r="A28" s="13" t="s">
        <v>17</v>
      </c>
      <c r="B28" s="13" t="s">
        <v>18</v>
      </c>
      <c r="C28" s="13" t="s">
        <v>105</v>
      </c>
      <c r="D28" s="13" t="s">
        <v>58</v>
      </c>
      <c r="E28" s="18"/>
      <c r="F28" s="53" t="s">
        <v>160</v>
      </c>
      <c r="G28" s="53" t="s">
        <v>161</v>
      </c>
      <c r="H28" s="49" t="s">
        <v>87</v>
      </c>
      <c r="I28" s="20" t="s">
        <v>162</v>
      </c>
      <c r="J28" s="63" t="s">
        <v>76</v>
      </c>
      <c r="K28" s="146" t="b">
        <f>ISNUMBER(MATCH(B28,Batch!A:A,0))</f>
        <v>0</v>
      </c>
      <c r="L28" s="146" t="b">
        <f>ISNUMBER(MATCH(B28,Batch!B:B,0))</f>
        <v>1</v>
      </c>
      <c r="M28" s="146" t="b">
        <f>ISNUMBER(MATCH(B28,passed!A:A,0))</f>
        <v>0</v>
      </c>
    </row>
    <row r="29" spans="1:46" customFormat="1" ht="45.75" hidden="1">
      <c r="A29" s="13" t="s">
        <v>17</v>
      </c>
      <c r="B29" s="13" t="s">
        <v>25</v>
      </c>
      <c r="C29" s="13" t="s">
        <v>105</v>
      </c>
      <c r="D29" s="13" t="s">
        <v>118</v>
      </c>
      <c r="E29" s="18">
        <v>45377</v>
      </c>
      <c r="F29" s="14" t="s">
        <v>163</v>
      </c>
      <c r="G29" s="14" t="s">
        <v>164</v>
      </c>
      <c r="H29" s="49" t="s">
        <v>87</v>
      </c>
      <c r="I29" s="6"/>
      <c r="J29" s="63"/>
      <c r="K29" s="146" t="b">
        <f>ISNUMBER(MATCH(B29,Batch!A:A,0))</f>
        <v>0</v>
      </c>
      <c r="L29" s="146" t="b">
        <f>ISNUMBER(MATCH(B29,Batch!B:B,0))</f>
        <v>1</v>
      </c>
      <c r="M29" s="146" t="b">
        <f>ISNUMBER(MATCH(B29,passed!A:A,0))</f>
        <v>0</v>
      </c>
    </row>
    <row r="30" spans="1:46" customFormat="1" ht="30.75" hidden="1">
      <c r="A30" s="13" t="s">
        <v>133</v>
      </c>
      <c r="B30" s="13" t="s">
        <v>165</v>
      </c>
      <c r="C30" s="13" t="s">
        <v>166</v>
      </c>
      <c r="D30" s="13" t="s">
        <v>10</v>
      </c>
      <c r="E30" s="27" t="s">
        <v>144</v>
      </c>
      <c r="F30" s="14" t="s">
        <v>167</v>
      </c>
      <c r="G30" s="14"/>
      <c r="H30" s="14" t="s">
        <v>10</v>
      </c>
      <c r="I30" s="54"/>
      <c r="J30" s="3" t="s">
        <v>143</v>
      </c>
      <c r="K30" s="146" t="b">
        <f>ISNUMBER(MATCH(B30,Batch!A:A,0))</f>
        <v>1</v>
      </c>
      <c r="L30" s="146" t="b">
        <f>ISNUMBER(MATCH(B30,Batch!B:B,0))</f>
        <v>0</v>
      </c>
      <c r="M30" s="146" t="b">
        <f>ISNUMBER(MATCH(B30,passed!A:A,0))</f>
        <v>1</v>
      </c>
    </row>
    <row r="31" spans="1:46" customFormat="1" ht="30.75" hidden="1">
      <c r="A31" s="13" t="s">
        <v>83</v>
      </c>
      <c r="B31" s="13" t="s">
        <v>168</v>
      </c>
      <c r="C31" s="13" t="s">
        <v>85</v>
      </c>
      <c r="D31" s="13" t="s">
        <v>58</v>
      </c>
      <c r="E31" s="18"/>
      <c r="F31" s="14" t="s">
        <v>169</v>
      </c>
      <c r="G31" s="14"/>
      <c r="H31" s="49" t="s">
        <v>87</v>
      </c>
      <c r="I31" s="5" t="s">
        <v>97</v>
      </c>
      <c r="J31" s="5" t="s">
        <v>76</v>
      </c>
      <c r="K31" s="146" t="b">
        <f>ISNUMBER(MATCH(B31,Batch!A:A,0))</f>
        <v>0</v>
      </c>
      <c r="L31" s="146" t="b">
        <f>ISNUMBER(MATCH(B31,Batch!B:B,0))</f>
        <v>1</v>
      </c>
      <c r="M31" s="146" t="b">
        <f>ISNUMBER(MATCH(B31,passed!A:A,0))</f>
        <v>0</v>
      </c>
    </row>
    <row r="32" spans="1:46" customFormat="1" ht="87" hidden="1">
      <c r="A32" s="13" t="s">
        <v>31</v>
      </c>
      <c r="B32" s="13" t="s">
        <v>39</v>
      </c>
      <c r="C32" s="13" t="s">
        <v>105</v>
      </c>
      <c r="D32" s="13" t="s">
        <v>58</v>
      </c>
      <c r="E32" s="18">
        <v>45379</v>
      </c>
      <c r="F32" s="23" t="s">
        <v>170</v>
      </c>
      <c r="G32" s="19" t="s">
        <v>171</v>
      </c>
      <c r="H32" s="49" t="s">
        <v>87</v>
      </c>
      <c r="I32" s="116" t="s">
        <v>115</v>
      </c>
      <c r="J32" s="63" t="s">
        <v>116</v>
      </c>
      <c r="K32" s="146" t="b">
        <f>ISNUMBER(MATCH(B32,Batch!A:A,0))</f>
        <v>0</v>
      </c>
      <c r="L32" s="146" t="b">
        <f>ISNUMBER(MATCH(B32,Batch!B:B,0))</f>
        <v>1</v>
      </c>
      <c r="M32" s="146" t="b">
        <f>ISNUMBER(MATCH(B32,passed!A:A,0))</f>
        <v>0</v>
      </c>
    </row>
    <row r="33" spans="1:13" ht="45.75" hidden="1">
      <c r="A33" s="13" t="s">
        <v>83</v>
      </c>
      <c r="B33" s="13" t="s">
        <v>172</v>
      </c>
      <c r="C33" s="13" t="s">
        <v>57</v>
      </c>
      <c r="D33" s="13" t="s">
        <v>58</v>
      </c>
      <c r="E33" s="18"/>
      <c r="F33" s="53" t="s">
        <v>173</v>
      </c>
      <c r="G33" s="14" t="s">
        <v>174</v>
      </c>
      <c r="H33" s="14" t="s">
        <v>175</v>
      </c>
      <c r="I33" s="5" t="s">
        <v>97</v>
      </c>
      <c r="J33" s="5" t="s">
        <v>76</v>
      </c>
      <c r="K33" s="146" t="b">
        <f>ISNUMBER(MATCH(B33,Batch!A:A,0))</f>
        <v>0</v>
      </c>
      <c r="L33" s="146" t="b">
        <f>ISNUMBER(MATCH(B33,Batch!B:B,0))</f>
        <v>1</v>
      </c>
      <c r="M33" s="146" t="b">
        <f>ISNUMBER(MATCH(B33,passed!A:A,0))</f>
        <v>0</v>
      </c>
    </row>
    <row r="34" spans="1:13" ht="45.75" hidden="1">
      <c r="A34" s="13" t="s">
        <v>83</v>
      </c>
      <c r="B34" s="13" t="s">
        <v>176</v>
      </c>
      <c r="C34" s="13" t="s">
        <v>57</v>
      </c>
      <c r="D34" s="13" t="s">
        <v>58</v>
      </c>
      <c r="E34" s="18"/>
      <c r="F34" s="53" t="s">
        <v>173</v>
      </c>
      <c r="G34" s="14" t="s">
        <v>174</v>
      </c>
      <c r="H34" s="14" t="s">
        <v>175</v>
      </c>
      <c r="I34" s="5" t="s">
        <v>97</v>
      </c>
      <c r="J34" s="5" t="s">
        <v>76</v>
      </c>
      <c r="K34" s="146" t="b">
        <f>ISNUMBER(MATCH(B34,Batch!A:A,0))</f>
        <v>0</v>
      </c>
      <c r="L34" s="146" t="b">
        <f>ISNUMBER(MATCH(B34,Batch!B:B,0))</f>
        <v>1</v>
      </c>
      <c r="M34" s="146" t="b">
        <f>ISNUMBER(MATCH(B34,passed!A:A,0))</f>
        <v>0</v>
      </c>
    </row>
    <row r="35" spans="1:13" ht="106.5" hidden="1">
      <c r="A35" s="13" t="s">
        <v>83</v>
      </c>
      <c r="B35" s="13" t="s">
        <v>177</v>
      </c>
      <c r="C35" s="13" t="s">
        <v>85</v>
      </c>
      <c r="D35" s="13" t="s">
        <v>58</v>
      </c>
      <c r="E35" s="18"/>
      <c r="F35" s="53" t="s">
        <v>178</v>
      </c>
      <c r="G35" s="14" t="s">
        <v>179</v>
      </c>
      <c r="H35" s="14" t="s">
        <v>180</v>
      </c>
      <c r="I35" s="20" t="s">
        <v>181</v>
      </c>
      <c r="J35" s="5" t="s">
        <v>98</v>
      </c>
      <c r="K35" s="146" t="b">
        <f>ISNUMBER(MATCH(B35,Batch!A:A,0))</f>
        <v>0</v>
      </c>
      <c r="L35" s="146" t="b">
        <f>ISNUMBER(MATCH(B35,Batch!B:B,0))</f>
        <v>1</v>
      </c>
      <c r="M35" s="146" t="b">
        <f>ISNUMBER(MATCH(B35,passed!A:A,0))</f>
        <v>0</v>
      </c>
    </row>
    <row r="36" spans="1:13" ht="121.5" hidden="1">
      <c r="A36" s="13" t="s">
        <v>83</v>
      </c>
      <c r="B36" s="13" t="s">
        <v>182</v>
      </c>
      <c r="C36" s="13" t="s">
        <v>57</v>
      </c>
      <c r="D36" s="13" t="s">
        <v>58</v>
      </c>
      <c r="E36" s="18">
        <v>45378</v>
      </c>
      <c r="F36" s="23" t="s">
        <v>183</v>
      </c>
      <c r="G36" s="14"/>
      <c r="H36" s="14" t="s">
        <v>184</v>
      </c>
      <c r="I36" s="15" t="s">
        <v>61</v>
      </c>
      <c r="J36" s="3" t="s">
        <v>62</v>
      </c>
      <c r="K36" s="146" t="b">
        <f>ISNUMBER(MATCH(B36,Batch!A:A,0))</f>
        <v>0</v>
      </c>
      <c r="L36" s="146" t="b">
        <f>ISNUMBER(MATCH(B36,Batch!B:B,0))</f>
        <v>1</v>
      </c>
      <c r="M36" s="146" t="b">
        <f>ISNUMBER(MATCH(B36,passed!A:A,0))</f>
        <v>0</v>
      </c>
    </row>
    <row r="37" spans="1:13" ht="45.75">
      <c r="A37" s="13" t="s">
        <v>83</v>
      </c>
      <c r="B37" s="13" t="s">
        <v>185</v>
      </c>
      <c r="C37" s="13" t="s">
        <v>57</v>
      </c>
      <c r="D37" s="13" t="s">
        <v>58</v>
      </c>
      <c r="E37" s="18"/>
      <c r="F37" s="53" t="s">
        <v>186</v>
      </c>
      <c r="G37" s="14"/>
      <c r="H37" s="14" t="s">
        <v>180</v>
      </c>
      <c r="I37" s="14" t="s">
        <v>180</v>
      </c>
      <c r="J37" s="3" t="s">
        <v>148</v>
      </c>
      <c r="K37" s="146" t="b">
        <f>ISNUMBER(MATCH(B37,Batch!A:A,0))</f>
        <v>0</v>
      </c>
      <c r="L37" s="146" t="b">
        <f>ISNUMBER(MATCH(B37,Batch!B:B,0))</f>
        <v>1</v>
      </c>
      <c r="M37" s="146" t="b">
        <f>ISNUMBER(MATCH(B37,passed!A:A,0))</f>
        <v>0</v>
      </c>
    </row>
    <row r="38" spans="1:13" ht="91.5" hidden="1">
      <c r="A38" s="13" t="s">
        <v>83</v>
      </c>
      <c r="B38" s="13" t="s">
        <v>187</v>
      </c>
      <c r="C38" s="13" t="s">
        <v>85</v>
      </c>
      <c r="D38" s="13" t="s">
        <v>58</v>
      </c>
      <c r="E38" s="18"/>
      <c r="F38" s="53" t="s">
        <v>188</v>
      </c>
      <c r="G38" s="14"/>
      <c r="H38" s="14" t="s">
        <v>180</v>
      </c>
      <c r="I38" s="20" t="s">
        <v>181</v>
      </c>
      <c r="J38" s="5" t="s">
        <v>98</v>
      </c>
      <c r="K38" s="146" t="b">
        <f>ISNUMBER(MATCH(B38,Batch!A:A,0))</f>
        <v>0</v>
      </c>
      <c r="L38" s="146" t="b">
        <f>ISNUMBER(MATCH(B38,Batch!B:B,0))</f>
        <v>1</v>
      </c>
      <c r="M38" s="146" t="b">
        <f>ISNUMBER(MATCH(B38,passed!A:A,0))</f>
        <v>0</v>
      </c>
    </row>
    <row r="39" spans="1:13" ht="216.75" hidden="1">
      <c r="A39" s="13" t="s">
        <v>189</v>
      </c>
      <c r="B39" s="13" t="s">
        <v>190</v>
      </c>
      <c r="C39" s="13" t="s">
        <v>85</v>
      </c>
      <c r="D39" s="13" t="s">
        <v>58</v>
      </c>
      <c r="E39" s="18" t="s">
        <v>191</v>
      </c>
      <c r="F39" s="19" t="s">
        <v>192</v>
      </c>
      <c r="G39" s="14" t="s">
        <v>193</v>
      </c>
      <c r="H39" s="53" t="s">
        <v>194</v>
      </c>
      <c r="I39" s="116" t="s">
        <v>115</v>
      </c>
      <c r="J39" s="3" t="s">
        <v>116</v>
      </c>
      <c r="K39" s="146" t="b">
        <f>ISNUMBER(MATCH(B39,Batch!A:A,0))</f>
        <v>0</v>
      </c>
      <c r="L39" s="146" t="b">
        <f>ISNUMBER(MATCH(B39,Batch!B:B,0))</f>
        <v>1</v>
      </c>
      <c r="M39" s="146" t="b">
        <f>ISNUMBER(MATCH(B39,passed!A:A,0))</f>
        <v>0</v>
      </c>
    </row>
    <row r="40" spans="1:13" ht="106.5" hidden="1">
      <c r="A40" s="13" t="s">
        <v>195</v>
      </c>
      <c r="B40" s="13" t="s">
        <v>196</v>
      </c>
      <c r="C40" s="13" t="s">
        <v>57</v>
      </c>
      <c r="D40" s="13" t="s">
        <v>10</v>
      </c>
      <c r="E40" s="18">
        <v>43910</v>
      </c>
      <c r="F40" s="128" t="s">
        <v>197</v>
      </c>
      <c r="G40" s="14"/>
      <c r="H40" s="14" t="s">
        <v>10</v>
      </c>
      <c r="I40" s="54"/>
      <c r="J40" s="5"/>
      <c r="K40" s="146" t="b">
        <f>ISNUMBER(MATCH(B40,Batch!A:A,0))</f>
        <v>1</v>
      </c>
      <c r="L40" s="146" t="b">
        <f>ISNUMBER(MATCH(B40,Batch!B:B,0))</f>
        <v>0</v>
      </c>
      <c r="M40" s="146" t="b">
        <f>ISNUMBER(MATCH(B40,passed!A:A,0))</f>
        <v>1</v>
      </c>
    </row>
    <row r="41" spans="1:13" ht="115.5" hidden="1">
      <c r="A41" s="13" t="s">
        <v>31</v>
      </c>
      <c r="B41" s="13" t="s">
        <v>198</v>
      </c>
      <c r="C41" s="13" t="s">
        <v>57</v>
      </c>
      <c r="D41" s="13" t="s">
        <v>58</v>
      </c>
      <c r="E41" s="18">
        <v>45379</v>
      </c>
      <c r="F41" s="8" t="s">
        <v>199</v>
      </c>
      <c r="G41" s="14"/>
      <c r="H41" s="14"/>
      <c r="I41" s="116" t="s">
        <v>115</v>
      </c>
      <c r="J41" s="63" t="s">
        <v>116</v>
      </c>
      <c r="K41" s="146" t="b">
        <f>ISNUMBER(MATCH(B41,Batch!A:A,0))</f>
        <v>0</v>
      </c>
      <c r="L41" s="146" t="b">
        <f>ISNUMBER(MATCH(B41,Batch!B:B,0))</f>
        <v>1</v>
      </c>
      <c r="M41" s="146" t="b">
        <f>ISNUMBER(MATCH(B41,passed!A:A,0))</f>
        <v>0</v>
      </c>
    </row>
    <row r="42" spans="1:13" ht="137.25" hidden="1">
      <c r="A42" s="13" t="s">
        <v>31</v>
      </c>
      <c r="B42" s="13" t="s">
        <v>200</v>
      </c>
      <c r="C42" s="13" t="s">
        <v>57</v>
      </c>
      <c r="D42" s="13" t="s">
        <v>58</v>
      </c>
      <c r="E42" s="18">
        <v>45379</v>
      </c>
      <c r="F42" s="53" t="s">
        <v>201</v>
      </c>
      <c r="G42" s="127"/>
      <c r="H42" s="14"/>
      <c r="I42" s="116" t="s">
        <v>115</v>
      </c>
      <c r="J42" s="63" t="s">
        <v>116</v>
      </c>
      <c r="K42" s="146" t="b">
        <f>ISNUMBER(MATCH(B42,Batch!A:A,0))</f>
        <v>0</v>
      </c>
      <c r="L42" s="146" t="b">
        <f>ISNUMBER(MATCH(B42,Batch!B:B,0))</f>
        <v>1</v>
      </c>
      <c r="M42" s="146" t="b">
        <f>ISNUMBER(MATCH(B42,passed!A:A,0))</f>
        <v>0</v>
      </c>
    </row>
    <row r="43" spans="1:13" hidden="1">
      <c r="A43" s="13" t="s">
        <v>83</v>
      </c>
      <c r="B43" s="13" t="s">
        <v>202</v>
      </c>
      <c r="C43" s="13" t="s">
        <v>57</v>
      </c>
      <c r="D43" s="13" t="s">
        <v>58</v>
      </c>
      <c r="E43" s="18"/>
      <c r="F43" s="139" t="s">
        <v>203</v>
      </c>
      <c r="G43" s="14"/>
      <c r="H43" s="140" t="s">
        <v>60</v>
      </c>
      <c r="I43" s="15" t="s">
        <v>61</v>
      </c>
      <c r="J43" s="3" t="s">
        <v>62</v>
      </c>
      <c r="K43" s="146" t="b">
        <f>ISNUMBER(MATCH(B43,Batch!A:A,0))</f>
        <v>0</v>
      </c>
      <c r="L43" s="146" t="b">
        <f>ISNUMBER(MATCH(B43,Batch!B:B,0))</f>
        <v>1</v>
      </c>
      <c r="M43" s="146" t="b">
        <f>ISNUMBER(MATCH(B43,passed!A:A,0))</f>
        <v>0</v>
      </c>
    </row>
    <row r="44" spans="1:13" hidden="1">
      <c r="A44" s="66" t="s">
        <v>83</v>
      </c>
      <c r="B44" s="66" t="s">
        <v>204</v>
      </c>
      <c r="C44" s="66" t="s">
        <v>85</v>
      </c>
      <c r="D44" s="66" t="s">
        <v>58</v>
      </c>
      <c r="E44" s="67"/>
      <c r="F44" s="68" t="s">
        <v>205</v>
      </c>
      <c r="G44" s="47"/>
      <c r="H44" s="69" t="s">
        <v>206</v>
      </c>
      <c r="I44" s="69" t="s">
        <v>206</v>
      </c>
      <c r="J44" s="70"/>
      <c r="K44" s="146" t="b">
        <f>ISNUMBER(MATCH(B44,Batch!A:A,0))</f>
        <v>0</v>
      </c>
      <c r="L44" s="146" t="b">
        <f>ISNUMBER(MATCH(B44,Batch!B:B,0))</f>
        <v>0</v>
      </c>
      <c r="M44" s="146" t="b">
        <f>ISNUMBER(MATCH(B44,passed!A:A,0))</f>
        <v>0</v>
      </c>
    </row>
    <row r="45" spans="1:13" hidden="1">
      <c r="A45" s="66" t="s">
        <v>83</v>
      </c>
      <c r="B45" s="66" t="s">
        <v>207</v>
      </c>
      <c r="C45" s="66" t="s">
        <v>85</v>
      </c>
      <c r="D45" s="66" t="s">
        <v>58</v>
      </c>
      <c r="E45" s="67"/>
      <c r="F45" s="68" t="s">
        <v>205</v>
      </c>
      <c r="G45" s="47"/>
      <c r="H45" s="69" t="s">
        <v>206</v>
      </c>
      <c r="I45" s="69" t="s">
        <v>206</v>
      </c>
      <c r="J45" s="70"/>
      <c r="K45" s="146" t="b">
        <f>ISNUMBER(MATCH(B45,Batch!A:A,0))</f>
        <v>0</v>
      </c>
      <c r="L45" s="146" t="b">
        <f>ISNUMBER(MATCH(B45,Batch!B:B,0))</f>
        <v>0</v>
      </c>
      <c r="M45" s="146" t="b">
        <f>ISNUMBER(MATCH(B45,passed!A:A,0))</f>
        <v>0</v>
      </c>
    </row>
    <row r="46" spans="1:13" hidden="1">
      <c r="A46" s="66" t="s">
        <v>83</v>
      </c>
      <c r="B46" s="66" t="s">
        <v>208</v>
      </c>
      <c r="C46" s="66" t="s">
        <v>57</v>
      </c>
      <c r="D46" s="66" t="s">
        <v>58</v>
      </c>
      <c r="E46" s="67"/>
      <c r="F46" s="68" t="s">
        <v>205</v>
      </c>
      <c r="G46" s="47"/>
      <c r="H46" s="69" t="s">
        <v>206</v>
      </c>
      <c r="I46" s="69" t="s">
        <v>206</v>
      </c>
      <c r="J46" s="70"/>
      <c r="K46" s="146" t="b">
        <f>ISNUMBER(MATCH(B46,Batch!A:A,0))</f>
        <v>0</v>
      </c>
      <c r="L46" s="146" t="b">
        <f>ISNUMBER(MATCH(B46,Batch!B:B,0))</f>
        <v>0</v>
      </c>
      <c r="M46" s="146" t="b">
        <f>ISNUMBER(MATCH(B46,passed!A:A,0))</f>
        <v>0</v>
      </c>
    </row>
    <row r="47" spans="1:13" hidden="1">
      <c r="A47" s="13" t="s">
        <v>83</v>
      </c>
      <c r="B47" s="13" t="s">
        <v>209</v>
      </c>
      <c r="C47" s="13" t="s">
        <v>57</v>
      </c>
      <c r="D47" s="13" t="s">
        <v>58</v>
      </c>
      <c r="E47" s="18"/>
      <c r="F47" s="139" t="s">
        <v>203</v>
      </c>
      <c r="G47" s="14"/>
      <c r="H47" s="140" t="s">
        <v>60</v>
      </c>
      <c r="I47" s="15" t="s">
        <v>61</v>
      </c>
      <c r="J47" s="3" t="s">
        <v>62</v>
      </c>
      <c r="K47" s="146" t="b">
        <f>ISNUMBER(MATCH(B47,Batch!A:A,0))</f>
        <v>0</v>
      </c>
      <c r="L47" s="146" t="b">
        <f>ISNUMBER(MATCH(B47,Batch!B:B,0))</f>
        <v>1</v>
      </c>
      <c r="M47" s="146" t="b">
        <f>ISNUMBER(MATCH(B47,passed!A:A,0))</f>
        <v>0</v>
      </c>
    </row>
    <row r="48" spans="1:13" ht="45.75" hidden="1">
      <c r="A48" s="13" t="s">
        <v>83</v>
      </c>
      <c r="B48" s="13" t="s">
        <v>210</v>
      </c>
      <c r="C48" s="13" t="s">
        <v>57</v>
      </c>
      <c r="D48" s="13" t="s">
        <v>58</v>
      </c>
      <c r="E48" s="18"/>
      <c r="F48" s="14" t="s">
        <v>211</v>
      </c>
      <c r="G48" s="135" t="s">
        <v>174</v>
      </c>
      <c r="H48" s="14" t="s">
        <v>212</v>
      </c>
      <c r="I48" s="142" t="s">
        <v>97</v>
      </c>
      <c r="J48" s="3" t="s">
        <v>76</v>
      </c>
      <c r="K48" s="146" t="b">
        <f>ISNUMBER(MATCH(B48,Batch!A:A,0))</f>
        <v>0</v>
      </c>
      <c r="L48" s="146" t="b">
        <f>ISNUMBER(MATCH(B48,Batch!B:B,0))</f>
        <v>1</v>
      </c>
      <c r="M48" s="146" t="b">
        <f>ISNUMBER(MATCH(B48,passed!A:A,0))</f>
        <v>0</v>
      </c>
    </row>
    <row r="49" spans="1:13" hidden="1">
      <c r="A49" s="66" t="s">
        <v>83</v>
      </c>
      <c r="B49" s="66" t="s">
        <v>213</v>
      </c>
      <c r="C49" s="66" t="s">
        <v>57</v>
      </c>
      <c r="D49" s="66" t="s">
        <v>58</v>
      </c>
      <c r="E49" s="67"/>
      <c r="F49" s="68" t="s">
        <v>205</v>
      </c>
      <c r="G49" s="47"/>
      <c r="H49" s="69" t="s">
        <v>206</v>
      </c>
      <c r="I49" s="69" t="s">
        <v>206</v>
      </c>
      <c r="J49" s="70"/>
      <c r="K49" s="146" t="b">
        <f>ISNUMBER(MATCH(B49,Batch!A:A,0))</f>
        <v>0</v>
      </c>
      <c r="L49" s="146" t="b">
        <f>ISNUMBER(MATCH(B49,Batch!B:B,0))</f>
        <v>0</v>
      </c>
      <c r="M49" s="146" t="b">
        <f>ISNUMBER(MATCH(B49,passed!A:A,0))</f>
        <v>0</v>
      </c>
    </row>
    <row r="50" spans="1:13" hidden="1">
      <c r="A50" s="66" t="s">
        <v>83</v>
      </c>
      <c r="B50" s="66" t="s">
        <v>214</v>
      </c>
      <c r="C50" s="66" t="s">
        <v>57</v>
      </c>
      <c r="D50" s="66" t="s">
        <v>58</v>
      </c>
      <c r="E50" s="67"/>
      <c r="F50" s="68" t="s">
        <v>205</v>
      </c>
      <c r="G50" s="47"/>
      <c r="H50" s="69" t="s">
        <v>206</v>
      </c>
      <c r="I50" s="69" t="s">
        <v>206</v>
      </c>
      <c r="J50" s="70"/>
      <c r="K50" s="146" t="b">
        <f>ISNUMBER(MATCH(B50,Batch!A:A,0))</f>
        <v>0</v>
      </c>
      <c r="L50" s="146" t="b">
        <f>ISNUMBER(MATCH(B50,Batch!B:B,0))</f>
        <v>0</v>
      </c>
      <c r="M50" s="146" t="b">
        <f>ISNUMBER(MATCH(B50,passed!A:A,0))</f>
        <v>0</v>
      </c>
    </row>
    <row r="51" spans="1:13" hidden="1">
      <c r="A51" s="66" t="s">
        <v>83</v>
      </c>
      <c r="B51" s="66" t="s">
        <v>215</v>
      </c>
      <c r="C51" s="66" t="s">
        <v>57</v>
      </c>
      <c r="D51" s="66" t="s">
        <v>58</v>
      </c>
      <c r="E51" s="67"/>
      <c r="F51" s="68" t="s">
        <v>205</v>
      </c>
      <c r="G51" s="47"/>
      <c r="H51" s="69" t="s">
        <v>206</v>
      </c>
      <c r="I51" s="69" t="s">
        <v>206</v>
      </c>
      <c r="J51" s="70"/>
      <c r="K51" s="146" t="b">
        <f>ISNUMBER(MATCH(B51,Batch!A:A,0))</f>
        <v>0</v>
      </c>
      <c r="L51" s="146" t="b">
        <f>ISNUMBER(MATCH(B51,Batch!B:B,0))</f>
        <v>0</v>
      </c>
      <c r="M51" s="146" t="b">
        <f>ISNUMBER(MATCH(B51,passed!A:A,0))</f>
        <v>0</v>
      </c>
    </row>
    <row r="52" spans="1:13" hidden="1">
      <c r="A52" s="66" t="s">
        <v>83</v>
      </c>
      <c r="B52" s="66" t="s">
        <v>216</v>
      </c>
      <c r="C52" s="66" t="s">
        <v>57</v>
      </c>
      <c r="D52" s="66" t="s">
        <v>58</v>
      </c>
      <c r="E52" s="67"/>
      <c r="F52" s="71" t="s">
        <v>205</v>
      </c>
      <c r="G52" s="47"/>
      <c r="H52" s="69" t="s">
        <v>206</v>
      </c>
      <c r="I52" s="69" t="s">
        <v>206</v>
      </c>
      <c r="J52" s="70"/>
      <c r="K52" s="146" t="b">
        <f>ISNUMBER(MATCH(B52,Batch!A:A,0))</f>
        <v>0</v>
      </c>
      <c r="L52" s="146" t="b">
        <f>ISNUMBER(MATCH(B52,Batch!B:B,0))</f>
        <v>0</v>
      </c>
      <c r="M52" s="146" t="b">
        <f>ISNUMBER(MATCH(B52,passed!A:A,0))</f>
        <v>0</v>
      </c>
    </row>
    <row r="53" spans="1:13" hidden="1">
      <c r="A53" s="66" t="s">
        <v>83</v>
      </c>
      <c r="B53" s="66" t="s">
        <v>217</v>
      </c>
      <c r="C53" s="66" t="s">
        <v>57</v>
      </c>
      <c r="D53" s="66" t="s">
        <v>58</v>
      </c>
      <c r="E53" s="67"/>
      <c r="F53" s="68" t="s">
        <v>205</v>
      </c>
      <c r="G53" s="47"/>
      <c r="H53" s="69" t="s">
        <v>206</v>
      </c>
      <c r="I53" s="69" t="s">
        <v>206</v>
      </c>
      <c r="J53" s="70"/>
      <c r="K53" s="146" t="b">
        <f>ISNUMBER(MATCH(B53,Batch!A:A,0))</f>
        <v>0</v>
      </c>
      <c r="L53" s="146" t="b">
        <f>ISNUMBER(MATCH(B53,Batch!B:B,0))</f>
        <v>0</v>
      </c>
      <c r="M53" s="146" t="b">
        <f>ISNUMBER(MATCH(B53,passed!A:A,0))</f>
        <v>0</v>
      </c>
    </row>
    <row r="54" spans="1:13" hidden="1">
      <c r="A54" s="66" t="s">
        <v>83</v>
      </c>
      <c r="B54" s="66" t="s">
        <v>218</v>
      </c>
      <c r="C54" s="66" t="s">
        <v>57</v>
      </c>
      <c r="D54" s="66" t="s">
        <v>58</v>
      </c>
      <c r="E54" s="67"/>
      <c r="F54" s="68" t="s">
        <v>205</v>
      </c>
      <c r="G54" s="47"/>
      <c r="H54" s="69" t="s">
        <v>206</v>
      </c>
      <c r="I54" s="69" t="s">
        <v>206</v>
      </c>
      <c r="J54" s="70"/>
      <c r="K54" s="146" t="b">
        <f>ISNUMBER(MATCH(B54,Batch!A:A,0))</f>
        <v>0</v>
      </c>
      <c r="L54" s="146" t="b">
        <f>ISNUMBER(MATCH(B54,Batch!B:B,0))</f>
        <v>0</v>
      </c>
      <c r="M54" s="146" t="b">
        <f>ISNUMBER(MATCH(B54,passed!A:A,0))</f>
        <v>0</v>
      </c>
    </row>
    <row r="55" spans="1:13" hidden="1">
      <c r="A55" s="66" t="s">
        <v>83</v>
      </c>
      <c r="B55" s="66" t="s">
        <v>219</v>
      </c>
      <c r="C55" s="66" t="s">
        <v>57</v>
      </c>
      <c r="D55" s="66" t="s">
        <v>58</v>
      </c>
      <c r="E55" s="67"/>
      <c r="F55" s="68" t="s">
        <v>205</v>
      </c>
      <c r="G55" s="47"/>
      <c r="H55" s="69" t="s">
        <v>206</v>
      </c>
      <c r="I55" s="69" t="s">
        <v>206</v>
      </c>
      <c r="J55" s="70"/>
      <c r="K55" s="146" t="b">
        <f>ISNUMBER(MATCH(B55,Batch!A:A,0))</f>
        <v>0</v>
      </c>
      <c r="L55" s="146" t="b">
        <f>ISNUMBER(MATCH(B55,Batch!B:B,0))</f>
        <v>0</v>
      </c>
      <c r="M55" s="146" t="b">
        <f>ISNUMBER(MATCH(B55,passed!A:A,0))</f>
        <v>0</v>
      </c>
    </row>
    <row r="56" spans="1:13" hidden="1">
      <c r="A56" s="66" t="s">
        <v>83</v>
      </c>
      <c r="B56" s="66" t="s">
        <v>220</v>
      </c>
      <c r="C56" s="66" t="s">
        <v>57</v>
      </c>
      <c r="D56" s="66" t="s">
        <v>58</v>
      </c>
      <c r="E56" s="67"/>
      <c r="F56" s="68" t="s">
        <v>205</v>
      </c>
      <c r="G56" s="47"/>
      <c r="H56" s="69" t="s">
        <v>206</v>
      </c>
      <c r="I56" s="69" t="s">
        <v>206</v>
      </c>
      <c r="J56" s="70"/>
      <c r="K56" s="146" t="b">
        <f>ISNUMBER(MATCH(B56,Batch!A:A,0))</f>
        <v>0</v>
      </c>
      <c r="L56" s="146" t="b">
        <f>ISNUMBER(MATCH(B56,Batch!B:B,0))</f>
        <v>0</v>
      </c>
      <c r="M56" s="146" t="b">
        <f>ISNUMBER(MATCH(B56,passed!A:A,0))</f>
        <v>0</v>
      </c>
    </row>
    <row r="57" spans="1:13" hidden="1">
      <c r="A57" s="13" t="s">
        <v>83</v>
      </c>
      <c r="B57" s="64" t="s">
        <v>221</v>
      </c>
      <c r="C57" s="64" t="s">
        <v>57</v>
      </c>
      <c r="D57" s="64" t="s">
        <v>58</v>
      </c>
      <c r="E57" s="152"/>
      <c r="F57" s="46" t="s">
        <v>222</v>
      </c>
      <c r="G57" s="46" t="s">
        <v>223</v>
      </c>
      <c r="H57" s="46" t="s">
        <v>224</v>
      </c>
      <c r="I57" s="123" t="s">
        <v>115</v>
      </c>
      <c r="J57" s="65" t="s">
        <v>116</v>
      </c>
      <c r="K57" s="153" t="b">
        <f>ISNUMBER(MATCH(B57,Batch!A:A,0))</f>
        <v>0</v>
      </c>
      <c r="L57" s="153" t="b">
        <f>ISNUMBER(MATCH(B57,Batch!B:B,0))</f>
        <v>1</v>
      </c>
      <c r="M57" s="146" t="b">
        <f>ISNUMBER(MATCH(B57,passed!A:A,0))</f>
        <v>0</v>
      </c>
    </row>
    <row r="58" spans="1:13" ht="45.75" hidden="1">
      <c r="A58" s="76" t="s">
        <v>8</v>
      </c>
      <c r="B58" s="13" t="s">
        <v>11</v>
      </c>
      <c r="C58" s="13" t="s">
        <v>105</v>
      </c>
      <c r="D58" s="13" t="s">
        <v>58</v>
      </c>
      <c r="E58" s="18">
        <v>45372</v>
      </c>
      <c r="F58" s="14" t="s">
        <v>225</v>
      </c>
      <c r="G58" s="14"/>
      <c r="H58" s="14"/>
      <c r="I58" s="116" t="s">
        <v>115</v>
      </c>
      <c r="J58" s="3" t="s">
        <v>116</v>
      </c>
      <c r="K58" s="146" t="b">
        <f>ISNUMBER(MATCH(B58,Batch!A:A,0))</f>
        <v>0</v>
      </c>
      <c r="L58" s="146" t="b">
        <f>ISNUMBER(MATCH(B58,Batch!B:B,0))</f>
        <v>1</v>
      </c>
      <c r="M58" s="148" t="b">
        <f>ISNUMBER(MATCH(B58,passed!A:A,0))</f>
        <v>0</v>
      </c>
    </row>
    <row r="59" spans="1:13" ht="76.5" hidden="1">
      <c r="A59" s="53" t="s">
        <v>55</v>
      </c>
      <c r="B59" s="158" t="s">
        <v>226</v>
      </c>
      <c r="C59" s="158" t="s">
        <v>57</v>
      </c>
      <c r="D59" s="155" t="s">
        <v>21</v>
      </c>
      <c r="E59" s="166" t="s">
        <v>135</v>
      </c>
      <c r="F59" s="156" t="s">
        <v>227</v>
      </c>
      <c r="G59" s="157" t="s">
        <v>228</v>
      </c>
      <c r="H59" s="154" t="s">
        <v>87</v>
      </c>
      <c r="I59" s="159" t="s">
        <v>108</v>
      </c>
      <c r="J59" s="159" t="s">
        <v>76</v>
      </c>
      <c r="K59" s="160" t="b">
        <f>ISNUMBER(MATCH(B59,Batch!A:A,0))</f>
        <v>0</v>
      </c>
      <c r="L59" s="161" t="b">
        <f>ISNUMBER(MATCH(B59,Batch!B:B,0))</f>
        <v>1</v>
      </c>
      <c r="M59" s="146" t="b">
        <f>ISNUMBER(MATCH(B59,passed!A:A,0))</f>
        <v>0</v>
      </c>
    </row>
    <row r="60" spans="1:13" ht="159">
      <c r="A60" s="76" t="s">
        <v>17</v>
      </c>
      <c r="B60" s="13" t="s">
        <v>20</v>
      </c>
      <c r="C60" s="13" t="s">
        <v>105</v>
      </c>
      <c r="D60" s="13" t="s">
        <v>21</v>
      </c>
      <c r="E60" s="18">
        <v>45371</v>
      </c>
      <c r="F60" s="23" t="s">
        <v>229</v>
      </c>
      <c r="G60" s="122" t="s">
        <v>230</v>
      </c>
      <c r="H60" s="49" t="s">
        <v>87</v>
      </c>
      <c r="I60" s="63" t="s">
        <v>147</v>
      </c>
      <c r="J60" s="63" t="s">
        <v>148</v>
      </c>
      <c r="K60" s="146" t="b">
        <f>ISNUMBER(MATCH(B60,Batch!A:A,0))</f>
        <v>0</v>
      </c>
      <c r="L60" s="146" t="b">
        <f>ISNUMBER(MATCH(B60,Batch!B:B,0))</f>
        <v>1</v>
      </c>
      <c r="M60" s="148" t="b">
        <f>ISNUMBER(MATCH(B60,passed!A:A,0))</f>
        <v>0</v>
      </c>
    </row>
    <row r="61" spans="1:13" ht="60.75" hidden="1">
      <c r="A61" s="13" t="s">
        <v>31</v>
      </c>
      <c r="B61" s="50" t="s">
        <v>40</v>
      </c>
      <c r="C61" s="50" t="s">
        <v>105</v>
      </c>
      <c r="D61" s="50" t="s">
        <v>58</v>
      </c>
      <c r="E61" s="162">
        <v>45379</v>
      </c>
      <c r="F61" s="163" t="s">
        <v>157</v>
      </c>
      <c r="G61" s="163" t="s">
        <v>156</v>
      </c>
      <c r="H61" s="163" t="s">
        <v>104</v>
      </c>
      <c r="I61" s="164" t="s">
        <v>115</v>
      </c>
      <c r="J61" s="121" t="s">
        <v>116</v>
      </c>
      <c r="K61" s="165" t="b">
        <f>ISNUMBER(MATCH(B61,Batch!A:A,0))</f>
        <v>0</v>
      </c>
      <c r="L61" s="165" t="b">
        <f>ISNUMBER(MATCH(B61,Batch!B:B,0))</f>
        <v>1</v>
      </c>
      <c r="M61" s="146" t="b">
        <f>ISNUMBER(MATCH(B61,passed!A:A,0))</f>
        <v>0</v>
      </c>
    </row>
    <row r="62" spans="1:13" ht="60.75" hidden="1">
      <c r="A62" s="13" t="s">
        <v>31</v>
      </c>
      <c r="B62" s="13" t="s">
        <v>41</v>
      </c>
      <c r="C62" s="13" t="s">
        <v>105</v>
      </c>
      <c r="D62" s="13" t="s">
        <v>58</v>
      </c>
      <c r="E62" s="18">
        <v>45379</v>
      </c>
      <c r="F62" s="14" t="s">
        <v>157</v>
      </c>
      <c r="G62" s="14" t="s">
        <v>156</v>
      </c>
      <c r="H62" s="14" t="s">
        <v>104</v>
      </c>
      <c r="I62" s="116" t="s">
        <v>115</v>
      </c>
      <c r="J62" s="63" t="s">
        <v>116</v>
      </c>
      <c r="K62" s="146" t="b">
        <f>ISNUMBER(MATCH(B62,Batch!A:A,0))</f>
        <v>0</v>
      </c>
      <c r="L62" s="146" t="b">
        <f>ISNUMBER(MATCH(B62,Batch!B:B,0))</f>
        <v>1</v>
      </c>
      <c r="M62" s="146" t="b">
        <f>ISNUMBER(MATCH(B62,passed!A:A,0))</f>
        <v>0</v>
      </c>
    </row>
    <row r="63" spans="1:13" hidden="1">
      <c r="A63" s="13" t="s">
        <v>83</v>
      </c>
      <c r="B63" s="13" t="s">
        <v>231</v>
      </c>
      <c r="C63" s="13" t="s">
        <v>57</v>
      </c>
      <c r="D63" s="49" t="s">
        <v>10</v>
      </c>
      <c r="E63" s="18"/>
      <c r="F63" s="129" t="s">
        <v>232</v>
      </c>
      <c r="G63" s="46"/>
      <c r="H63" s="46" t="s">
        <v>10</v>
      </c>
      <c r="I63" s="170"/>
      <c r="J63" s="65"/>
      <c r="K63" s="153" t="b">
        <f>ISNUMBER(MATCH(B63,Batch!A:A,0))</f>
        <v>1</v>
      </c>
      <c r="L63" s="146" t="b">
        <f>ISNUMBER(MATCH(B63,Batch!B:B,0))</f>
        <v>0</v>
      </c>
      <c r="M63" s="146" t="b">
        <f>ISNUMBER(MATCH(B63,passed!A:A,0))</f>
        <v>1</v>
      </c>
    </row>
    <row r="64" spans="1:13" ht="72.75" hidden="1">
      <c r="A64" s="13" t="s">
        <v>83</v>
      </c>
      <c r="B64" s="13" t="s">
        <v>233</v>
      </c>
      <c r="C64" s="13" t="s">
        <v>57</v>
      </c>
      <c r="D64" s="13" t="s">
        <v>58</v>
      </c>
      <c r="E64" s="18"/>
      <c r="F64" s="174" t="s">
        <v>234</v>
      </c>
      <c r="G64" s="14"/>
      <c r="H64" s="49" t="s">
        <v>87</v>
      </c>
      <c r="I64" s="5" t="s">
        <v>97</v>
      </c>
      <c r="J64" s="3" t="s">
        <v>76</v>
      </c>
      <c r="K64" s="146" t="b">
        <f>ISNUMBER(MATCH(B64,Batch!A:A,0))</f>
        <v>0</v>
      </c>
      <c r="L64" s="148" t="b">
        <f>ISNUMBER(MATCH(B64,Batch!B:B,0))</f>
        <v>1</v>
      </c>
      <c r="M64" s="146" t="b">
        <f>ISNUMBER(MATCH(B64,passed!A:A,0))</f>
        <v>0</v>
      </c>
    </row>
    <row r="65" spans="1:13" ht="45.75" hidden="1">
      <c r="A65" s="13" t="s">
        <v>83</v>
      </c>
      <c r="B65" s="13" t="s">
        <v>235</v>
      </c>
      <c r="C65" s="13" t="s">
        <v>85</v>
      </c>
      <c r="D65" s="13" t="s">
        <v>58</v>
      </c>
      <c r="E65" s="27" t="s">
        <v>144</v>
      </c>
      <c r="F65" s="169" t="s">
        <v>236</v>
      </c>
      <c r="G65" s="14" t="s">
        <v>174</v>
      </c>
      <c r="H65" s="49" t="s">
        <v>87</v>
      </c>
      <c r="I65" s="5" t="s">
        <v>97</v>
      </c>
      <c r="J65" s="5" t="s">
        <v>76</v>
      </c>
      <c r="K65" s="146" t="b">
        <f>ISNUMBER(MATCH(B65,Batch!A:A,0))</f>
        <v>0</v>
      </c>
      <c r="L65" s="148" t="b">
        <f>ISNUMBER(MATCH(B65,Batch!B:B,0))</f>
        <v>1</v>
      </c>
      <c r="M65" s="146" t="b">
        <f>ISNUMBER(MATCH(B65,passed!A:A,0))</f>
        <v>0</v>
      </c>
    </row>
    <row r="66" spans="1:13" ht="45.75" hidden="1">
      <c r="A66" s="13" t="s">
        <v>125</v>
      </c>
      <c r="B66" s="13" t="s">
        <v>237</v>
      </c>
      <c r="C66" s="13" t="s">
        <v>57</v>
      </c>
      <c r="D66" s="49" t="s">
        <v>10</v>
      </c>
      <c r="E66" s="18">
        <v>45268</v>
      </c>
      <c r="F66" s="130" t="s">
        <v>127</v>
      </c>
      <c r="G66" s="163" t="s">
        <v>128</v>
      </c>
      <c r="H66" s="163" t="s">
        <v>10</v>
      </c>
      <c r="I66" s="167"/>
      <c r="J66" s="168"/>
      <c r="K66" s="165" t="b">
        <f>ISNUMBER(MATCH(B66,Batch!A:A,0))</f>
        <v>1</v>
      </c>
      <c r="L66" s="146" t="b">
        <f>ISNUMBER(MATCH(B66,Batch!B:B,0))</f>
        <v>0</v>
      </c>
      <c r="M66" s="146" t="b">
        <f>ISNUMBER(MATCH(B66,passed!A:A,0))</f>
        <v>1</v>
      </c>
    </row>
    <row r="67" spans="1:13" ht="130.5" hidden="1">
      <c r="A67" s="13" t="s">
        <v>125</v>
      </c>
      <c r="B67" s="13" t="s">
        <v>238</v>
      </c>
      <c r="C67" s="13" t="s">
        <v>57</v>
      </c>
      <c r="D67" s="13" t="s">
        <v>118</v>
      </c>
      <c r="E67" s="18">
        <v>45268</v>
      </c>
      <c r="F67" s="19" t="s">
        <v>239</v>
      </c>
      <c r="G67" s="24" t="s">
        <v>240</v>
      </c>
      <c r="H67" s="14" t="s">
        <v>10</v>
      </c>
      <c r="I67" s="131"/>
      <c r="J67" s="5"/>
      <c r="K67" s="146" t="b">
        <f>ISNUMBER(MATCH(B67,Batch!A:A,0))</f>
        <v>1</v>
      </c>
      <c r="L67" s="146" t="b">
        <f>ISNUMBER(MATCH(B67,Batch!B:B,0))</f>
        <v>0</v>
      </c>
      <c r="M67" s="146" t="b">
        <f>ISNUMBER(MATCH(B67,passed!A:A,0))</f>
        <v>0</v>
      </c>
    </row>
    <row r="68" spans="1:13" ht="213" hidden="1">
      <c r="A68" s="13" t="s">
        <v>77</v>
      </c>
      <c r="B68" s="13" t="s">
        <v>241</v>
      </c>
      <c r="C68" s="13" t="s">
        <v>57</v>
      </c>
      <c r="D68" s="13" t="s">
        <v>58</v>
      </c>
      <c r="E68" s="125" t="s">
        <v>59</v>
      </c>
      <c r="F68" s="26" t="s">
        <v>242</v>
      </c>
      <c r="G68" s="14" t="s">
        <v>243</v>
      </c>
      <c r="H68" s="53" t="s">
        <v>244</v>
      </c>
      <c r="I68" s="22" t="s">
        <v>245</v>
      </c>
      <c r="J68" s="3" t="s">
        <v>143</v>
      </c>
      <c r="K68" s="146" t="b">
        <f>ISNUMBER(MATCH(B68,Batch!A:A,0))</f>
        <v>0</v>
      </c>
      <c r="L68" s="146" t="b">
        <f>ISNUMBER(MATCH(B68,Batch!B:B,0))</f>
        <v>1</v>
      </c>
      <c r="M68" s="146" t="b">
        <f>ISNUMBER(MATCH(B68,passed!A:A,0))</f>
        <v>0</v>
      </c>
    </row>
    <row r="69" spans="1:13" ht="106.5" hidden="1">
      <c r="A69" s="13" t="s">
        <v>63</v>
      </c>
      <c r="B69" s="49" t="s">
        <v>246</v>
      </c>
      <c r="C69" s="13" t="s">
        <v>65</v>
      </c>
      <c r="D69" s="13" t="s">
        <v>10</v>
      </c>
      <c r="E69" s="27" t="s">
        <v>247</v>
      </c>
      <c r="F69" s="132" t="s">
        <v>248</v>
      </c>
      <c r="G69" s="24" t="s">
        <v>249</v>
      </c>
      <c r="H69" s="14" t="s">
        <v>10</v>
      </c>
      <c r="I69" s="6"/>
      <c r="J69" s="5"/>
      <c r="K69" s="146" t="b">
        <f>ISNUMBER(MATCH(B69,Batch!A:A,0))</f>
        <v>1</v>
      </c>
      <c r="L69" s="146" t="b">
        <f>ISNUMBER(MATCH(B69,Batch!B:B,0))</f>
        <v>0</v>
      </c>
      <c r="M69" s="146" t="b">
        <f>ISNUMBER(MATCH(B69,passed!A:A,0))</f>
        <v>1</v>
      </c>
    </row>
    <row r="70" spans="1:13" ht="91.5" hidden="1">
      <c r="A70" s="13" t="s">
        <v>250</v>
      </c>
      <c r="B70" s="13" t="s">
        <v>251</v>
      </c>
      <c r="C70" s="13" t="s">
        <v>85</v>
      </c>
      <c r="D70" s="13" t="s">
        <v>10</v>
      </c>
      <c r="E70" s="18">
        <v>45377</v>
      </c>
      <c r="F70" s="14" t="s">
        <v>252</v>
      </c>
      <c r="G70" s="14"/>
      <c r="H70" s="14" t="s">
        <v>10</v>
      </c>
      <c r="I70" s="6"/>
      <c r="J70" s="3"/>
      <c r="K70" s="146" t="b">
        <f>ISNUMBER(MATCH(B70,Batch!A:A,0))</f>
        <v>1</v>
      </c>
      <c r="L70" s="146" t="b">
        <f>ISNUMBER(MATCH(B70,Batch!B:B,0))</f>
        <v>0</v>
      </c>
      <c r="M70" s="146" t="b">
        <f>ISNUMBER(MATCH(B70,passed!A:A,0))</f>
        <v>1</v>
      </c>
    </row>
    <row r="71" spans="1:13" ht="30.75">
      <c r="A71" s="13" t="s">
        <v>250</v>
      </c>
      <c r="B71" s="13" t="s">
        <v>253</v>
      </c>
      <c r="C71" s="13" t="s">
        <v>57</v>
      </c>
      <c r="D71" s="13" t="s">
        <v>21</v>
      </c>
      <c r="E71" s="18">
        <v>45371</v>
      </c>
      <c r="F71" s="14" t="s">
        <v>254</v>
      </c>
      <c r="G71" s="14"/>
      <c r="H71" s="53" t="s">
        <v>154</v>
      </c>
      <c r="I71" s="73" t="s">
        <v>245</v>
      </c>
      <c r="J71" s="3" t="s">
        <v>148</v>
      </c>
      <c r="K71" s="146" t="b">
        <f>ISNUMBER(MATCH(B71,Batch!A:A,0))</f>
        <v>0</v>
      </c>
      <c r="L71" s="146" t="b">
        <f>ISNUMBER(MATCH(B71,Batch!B:B,0))</f>
        <v>1</v>
      </c>
      <c r="M71" s="146" t="b">
        <f>ISNUMBER(MATCH(B71,passed!A:A,0))</f>
        <v>0</v>
      </c>
    </row>
    <row r="72" spans="1:13" hidden="1">
      <c r="A72" s="13" t="s">
        <v>250</v>
      </c>
      <c r="B72" s="13" t="s">
        <v>255</v>
      </c>
      <c r="C72" s="13" t="s">
        <v>85</v>
      </c>
      <c r="D72" s="49" t="s">
        <v>10</v>
      </c>
      <c r="E72" s="18" t="s">
        <v>59</v>
      </c>
      <c r="F72" s="14"/>
      <c r="G72" s="14"/>
      <c r="H72" s="14" t="s">
        <v>10</v>
      </c>
      <c r="I72" s="6"/>
      <c r="J72" s="3"/>
      <c r="K72" s="146" t="b">
        <f>ISNUMBER(MATCH(B72,Batch!A:A,0))</f>
        <v>0</v>
      </c>
      <c r="L72" s="146" t="b">
        <f>ISNUMBER(MATCH(B72,Batch!B:B,0))</f>
        <v>0</v>
      </c>
      <c r="M72" s="146" t="b">
        <f>ISNUMBER(MATCH(B72,passed!A:A,0))</f>
        <v>1</v>
      </c>
    </row>
    <row r="73" spans="1:13" ht="91.5" hidden="1">
      <c r="A73" s="13" t="s">
        <v>8</v>
      </c>
      <c r="B73" s="13" t="s">
        <v>256</v>
      </c>
      <c r="C73" s="13" t="s">
        <v>57</v>
      </c>
      <c r="D73" s="13" t="s">
        <v>58</v>
      </c>
      <c r="E73" s="18">
        <v>43580</v>
      </c>
      <c r="F73" s="23" t="s">
        <v>257</v>
      </c>
      <c r="G73" s="14"/>
      <c r="H73" s="53" t="s">
        <v>154</v>
      </c>
      <c r="I73" s="130" t="s">
        <v>115</v>
      </c>
      <c r="J73" s="3" t="s">
        <v>116</v>
      </c>
      <c r="K73" s="146" t="b">
        <f>ISNUMBER(MATCH(B73,Batch!A:A,0))</f>
        <v>0</v>
      </c>
      <c r="L73" s="146" t="b">
        <f>ISNUMBER(MATCH(B73,Batch!B:B,0))</f>
        <v>1</v>
      </c>
      <c r="M73" s="146" t="b">
        <f>ISNUMBER(MATCH(B73,passed!A:A,0))</f>
        <v>0</v>
      </c>
    </row>
    <row r="74" spans="1:13" hidden="1">
      <c r="A74" s="13" t="s">
        <v>8</v>
      </c>
      <c r="B74" s="13" t="s">
        <v>9</v>
      </c>
      <c r="C74" s="13" t="s">
        <v>105</v>
      </c>
      <c r="D74" s="49" t="s">
        <v>10</v>
      </c>
      <c r="E74" s="18" t="s">
        <v>59</v>
      </c>
      <c r="F74" s="14"/>
      <c r="G74" s="14"/>
      <c r="H74" s="14" t="s">
        <v>10</v>
      </c>
      <c r="I74" s="6"/>
      <c r="J74" s="3"/>
      <c r="K74" s="146" t="b">
        <f>ISNUMBER(MATCH(B74,Batch!A:A,0))</f>
        <v>0</v>
      </c>
      <c r="L74" s="146" t="b">
        <f>ISNUMBER(MATCH(B74,Batch!B:B,0))</f>
        <v>0</v>
      </c>
      <c r="M74" s="146" t="b">
        <f>ISNUMBER(MATCH(B74,passed!A:A,0))</f>
        <v>1</v>
      </c>
    </row>
    <row r="75" spans="1:13" hidden="1">
      <c r="A75" s="13" t="s">
        <v>8</v>
      </c>
      <c r="B75" s="13" t="s">
        <v>12</v>
      </c>
      <c r="C75" s="13" t="s">
        <v>105</v>
      </c>
      <c r="D75" s="49" t="s">
        <v>10</v>
      </c>
      <c r="E75" s="18" t="s">
        <v>59</v>
      </c>
      <c r="F75" s="14"/>
      <c r="G75" s="14"/>
      <c r="H75" s="14" t="s">
        <v>10</v>
      </c>
      <c r="I75" s="6"/>
      <c r="J75" s="3"/>
      <c r="K75" s="146" t="b">
        <f>ISNUMBER(MATCH(B75,Batch!A:A,0))</f>
        <v>0</v>
      </c>
      <c r="L75" s="146" t="b">
        <f>ISNUMBER(MATCH(B75,Batch!B:B,0))</f>
        <v>0</v>
      </c>
      <c r="M75" s="146" t="b">
        <f>ISNUMBER(MATCH(B75,passed!A:A,0))</f>
        <v>1</v>
      </c>
    </row>
    <row r="76" spans="1:13" ht="45.75" hidden="1">
      <c r="A76" s="13" t="s">
        <v>8</v>
      </c>
      <c r="B76" s="13" t="s">
        <v>14</v>
      </c>
      <c r="C76" s="13" t="s">
        <v>105</v>
      </c>
      <c r="D76" s="13" t="s">
        <v>10</v>
      </c>
      <c r="E76" s="18" t="s">
        <v>59</v>
      </c>
      <c r="F76" s="14" t="s">
        <v>258</v>
      </c>
      <c r="G76" s="24" t="s">
        <v>259</v>
      </c>
      <c r="H76" s="14" t="s">
        <v>10</v>
      </c>
      <c r="I76" s="6"/>
      <c r="J76" s="3"/>
      <c r="K76" s="146" t="b">
        <f>ISNUMBER(MATCH(B76,Batch!A:A,0))</f>
        <v>0</v>
      </c>
      <c r="L76" s="146" t="b">
        <f>ISNUMBER(MATCH(B76,Batch!B:B,0))</f>
        <v>0</v>
      </c>
      <c r="M76" s="146" t="b">
        <f>ISNUMBER(MATCH(B76,passed!A:A,0))</f>
        <v>1</v>
      </c>
    </row>
    <row r="77" spans="1:13" hidden="1">
      <c r="A77" s="13" t="s">
        <v>8</v>
      </c>
      <c r="B77" s="13" t="s">
        <v>15</v>
      </c>
      <c r="C77" s="13" t="s">
        <v>105</v>
      </c>
      <c r="D77" s="13" t="s">
        <v>10</v>
      </c>
      <c r="E77" s="18" t="s">
        <v>59</v>
      </c>
      <c r="F77" s="14"/>
      <c r="G77" s="14"/>
      <c r="H77" s="14" t="s">
        <v>10</v>
      </c>
      <c r="I77" s="6"/>
      <c r="J77" s="3"/>
      <c r="K77" s="146" t="b">
        <f>ISNUMBER(MATCH(B77,Batch!A:A,0))</f>
        <v>0</v>
      </c>
      <c r="L77" s="146" t="b">
        <f>ISNUMBER(MATCH(B77,Batch!B:B,0))</f>
        <v>0</v>
      </c>
      <c r="M77" s="146" t="b">
        <f>ISNUMBER(MATCH(B77,passed!A:A,0))</f>
        <v>1</v>
      </c>
    </row>
    <row r="78" spans="1:13" ht="30.75" hidden="1">
      <c r="A78" s="13" t="s">
        <v>8</v>
      </c>
      <c r="B78" s="13" t="s">
        <v>16</v>
      </c>
      <c r="C78" s="13" t="s">
        <v>105</v>
      </c>
      <c r="D78" s="13" t="s">
        <v>10</v>
      </c>
      <c r="E78" s="18" t="s">
        <v>59</v>
      </c>
      <c r="F78" s="14" t="s">
        <v>260</v>
      </c>
      <c r="G78" s="14"/>
      <c r="H78" s="14" t="s">
        <v>10</v>
      </c>
      <c r="I78" s="6"/>
      <c r="J78" s="3"/>
      <c r="K78" s="146" t="b">
        <f>ISNUMBER(MATCH(B78,Batch!A:A,0))</f>
        <v>0</v>
      </c>
      <c r="L78" s="146" t="b">
        <f>ISNUMBER(MATCH(B78,Batch!B:B,0))</f>
        <v>0</v>
      </c>
      <c r="M78" s="146" t="b">
        <f>ISNUMBER(MATCH(B78,passed!A:A,0))</f>
        <v>1</v>
      </c>
    </row>
    <row r="79" spans="1:13" ht="102.75" hidden="1">
      <c r="A79" s="13" t="s">
        <v>261</v>
      </c>
      <c r="B79" s="13" t="s">
        <v>262</v>
      </c>
      <c r="C79" s="13" t="s">
        <v>57</v>
      </c>
      <c r="D79" s="49" t="s">
        <v>10</v>
      </c>
      <c r="E79" s="18">
        <v>45371</v>
      </c>
      <c r="F79" s="19" t="s">
        <v>263</v>
      </c>
      <c r="G79" s="24" t="s">
        <v>264</v>
      </c>
      <c r="H79" s="14" t="s">
        <v>180</v>
      </c>
      <c r="I79" s="54"/>
      <c r="J79" s="5"/>
      <c r="K79" s="146" t="b">
        <f>ISNUMBER(MATCH(B79,Batch!A:A,0))</f>
        <v>1</v>
      </c>
      <c r="L79" s="146" t="b">
        <f>ISNUMBER(MATCH(B79,Batch!B:B,0))</f>
        <v>0</v>
      </c>
      <c r="M79" s="146" t="b">
        <f>ISNUMBER(MATCH(B79,passed!A:A,0))</f>
        <v>1</v>
      </c>
    </row>
    <row r="80" spans="1:13" ht="45.75" hidden="1">
      <c r="A80" s="13" t="s">
        <v>55</v>
      </c>
      <c r="B80" s="13" t="s">
        <v>265</v>
      </c>
      <c r="C80" s="13" t="s">
        <v>57</v>
      </c>
      <c r="D80" s="13" t="s">
        <v>10</v>
      </c>
      <c r="E80" s="18">
        <v>45370</v>
      </c>
      <c r="F80" s="14" t="s">
        <v>266</v>
      </c>
      <c r="G80" s="14"/>
      <c r="H80" s="14" t="s">
        <v>10</v>
      </c>
      <c r="I80" s="54"/>
      <c r="J80" s="3"/>
      <c r="K80" s="146" t="b">
        <f>ISNUMBER(MATCH(B80,Batch!A:A,0))</f>
        <v>0</v>
      </c>
      <c r="L80" s="146" t="b">
        <f>ISNUMBER(MATCH(B80,Batch!B:B,0))</f>
        <v>0</v>
      </c>
      <c r="M80" s="146" t="b">
        <f>ISNUMBER(MATCH(B80,passed!A:A,0))</f>
        <v>1</v>
      </c>
    </row>
    <row r="81" spans="1:13" hidden="1">
      <c r="A81" s="13" t="s">
        <v>55</v>
      </c>
      <c r="B81" s="13" t="s">
        <v>267</v>
      </c>
      <c r="C81" s="13" t="s">
        <v>57</v>
      </c>
      <c r="D81" s="49" t="s">
        <v>10</v>
      </c>
      <c r="E81" s="18" t="s">
        <v>59</v>
      </c>
      <c r="F81" s="14"/>
      <c r="G81" s="14"/>
      <c r="H81" s="14" t="s">
        <v>10</v>
      </c>
      <c r="I81" s="120"/>
      <c r="J81" s="3"/>
      <c r="K81" s="146" t="b">
        <f>ISNUMBER(MATCH(B81,Batch!A:A,0))</f>
        <v>0</v>
      </c>
      <c r="L81" s="146" t="b">
        <f>ISNUMBER(MATCH(B81,Batch!B:B,0))</f>
        <v>0</v>
      </c>
      <c r="M81" s="146" t="b">
        <f>ISNUMBER(MATCH(B81,passed!A:A,0))</f>
        <v>1</v>
      </c>
    </row>
    <row r="82" spans="1:13" ht="262.5" hidden="1">
      <c r="A82" s="13" t="s">
        <v>268</v>
      </c>
      <c r="B82" s="13" t="s">
        <v>269</v>
      </c>
      <c r="C82" s="13" t="s">
        <v>57</v>
      </c>
      <c r="D82" s="13" t="s">
        <v>10</v>
      </c>
      <c r="E82" s="27" t="s">
        <v>144</v>
      </c>
      <c r="F82" s="14" t="s">
        <v>270</v>
      </c>
      <c r="G82" s="14" t="s">
        <v>271</v>
      </c>
      <c r="H82" s="14" t="s">
        <v>10</v>
      </c>
      <c r="I82" s="6"/>
      <c r="J82" s="3"/>
      <c r="K82" s="146" t="b">
        <f>ISNUMBER(MATCH(B82,Batch!A:A,0))</f>
        <v>1</v>
      </c>
      <c r="L82" s="146" t="b">
        <f>ISNUMBER(MATCH(B82,Batch!B:B,0))</f>
        <v>0</v>
      </c>
      <c r="M82" s="146" t="b">
        <f>ISNUMBER(MATCH(B82,passed!A:A,0))</f>
        <v>1</v>
      </c>
    </row>
    <row r="83" spans="1:13" ht="30.75" hidden="1">
      <c r="A83" s="13" t="s">
        <v>63</v>
      </c>
      <c r="B83" s="13" t="s">
        <v>272</v>
      </c>
      <c r="C83" s="13" t="s">
        <v>65</v>
      </c>
      <c r="D83" s="13" t="s">
        <v>10</v>
      </c>
      <c r="E83" s="18">
        <v>43318</v>
      </c>
      <c r="F83" s="14"/>
      <c r="G83" s="14"/>
      <c r="H83" s="14" t="s">
        <v>10</v>
      </c>
      <c r="I83" s="24"/>
      <c r="J83" s="3"/>
      <c r="K83" s="146" t="b">
        <f>ISNUMBER(MATCH(B83,Batch!A:A,0))</f>
        <v>0</v>
      </c>
      <c r="L83" s="146" t="b">
        <f>ISNUMBER(MATCH(B83,Batch!B:B,0))</f>
        <v>0</v>
      </c>
      <c r="M83" s="146" t="b">
        <f>ISNUMBER(MATCH(B83,passed!A:A,0))</f>
        <v>1</v>
      </c>
    </row>
    <row r="84" spans="1:13" ht="30.75" hidden="1">
      <c r="A84" s="13" t="s">
        <v>63</v>
      </c>
      <c r="B84" s="28" t="s">
        <v>273</v>
      </c>
      <c r="C84" s="13" t="s">
        <v>65</v>
      </c>
      <c r="D84" s="13" t="s">
        <v>21</v>
      </c>
      <c r="E84" s="18">
        <v>45376</v>
      </c>
      <c r="F84" s="14" t="s">
        <v>274</v>
      </c>
      <c r="G84" s="14"/>
      <c r="H84" s="14" t="s">
        <v>104</v>
      </c>
      <c r="I84" s="15" t="s">
        <v>61</v>
      </c>
      <c r="J84" s="3" t="s">
        <v>62</v>
      </c>
      <c r="K84" s="146" t="b">
        <f>ISNUMBER(MATCH(B84,Batch!A:A,0))</f>
        <v>0</v>
      </c>
      <c r="L84" s="146" t="b">
        <f>ISNUMBER(MATCH(B84,Batch!B:B,0))</f>
        <v>1</v>
      </c>
      <c r="M84" s="146" t="b">
        <f>ISNUMBER(MATCH(B84,passed!A:A,0))</f>
        <v>0</v>
      </c>
    </row>
    <row r="85" spans="1:13" ht="30.75" hidden="1">
      <c r="A85" s="13" t="s">
        <v>63</v>
      </c>
      <c r="B85" s="13" t="s">
        <v>275</v>
      </c>
      <c r="C85" s="13" t="s">
        <v>65</v>
      </c>
      <c r="D85" s="13" t="s">
        <v>10</v>
      </c>
      <c r="E85" s="18">
        <v>45361</v>
      </c>
      <c r="F85" s="14" t="s">
        <v>276</v>
      </c>
      <c r="G85" s="14"/>
      <c r="H85" s="14" t="s">
        <v>10</v>
      </c>
      <c r="I85" s="131"/>
      <c r="J85" s="3"/>
      <c r="K85" s="146" t="b">
        <f>ISNUMBER(MATCH(B85,Batch!A:A,0))</f>
        <v>0</v>
      </c>
      <c r="L85" s="146" t="b">
        <f>ISNUMBER(MATCH(B85,Batch!B:B,0))</f>
        <v>0</v>
      </c>
      <c r="M85" s="146" t="b">
        <f>ISNUMBER(MATCH(B85,passed!A:A,0))</f>
        <v>1</v>
      </c>
    </row>
    <row r="86" spans="1:13" ht="29.25" hidden="1">
      <c r="A86" s="13" t="s">
        <v>277</v>
      </c>
      <c r="B86" s="14" t="s">
        <v>278</v>
      </c>
      <c r="C86" s="14" t="s">
        <v>57</v>
      </c>
      <c r="D86" s="14" t="s">
        <v>58</v>
      </c>
      <c r="E86" s="124"/>
      <c r="F86" s="14" t="s">
        <v>279</v>
      </c>
      <c r="G86" s="14"/>
      <c r="H86" s="14" t="s">
        <v>180</v>
      </c>
      <c r="I86" s="116" t="s">
        <v>115</v>
      </c>
      <c r="J86" s="4" t="s">
        <v>116</v>
      </c>
      <c r="K86" s="146" t="b">
        <f>ISNUMBER(MATCH(B86,Batch!A:A,0))</f>
        <v>0</v>
      </c>
      <c r="L86" s="146" t="b">
        <f>ISNUMBER(MATCH(B86,Batch!B:B,0))</f>
        <v>0</v>
      </c>
      <c r="M86" s="146" t="b">
        <f>ISNUMBER(MATCH(B86,passed!A:A,0))</f>
        <v>0</v>
      </c>
    </row>
    <row r="87" spans="1:13" hidden="1">
      <c r="A87" s="13" t="s">
        <v>129</v>
      </c>
      <c r="B87" s="13" t="s">
        <v>280</v>
      </c>
      <c r="C87" s="13" t="s">
        <v>57</v>
      </c>
      <c r="D87" s="13" t="s">
        <v>10</v>
      </c>
      <c r="E87" s="175">
        <v>45314</v>
      </c>
      <c r="F87" s="13"/>
      <c r="G87" s="13"/>
      <c r="H87" s="14" t="s">
        <v>10</v>
      </c>
      <c r="I87" s="6"/>
      <c r="J87" s="3"/>
      <c r="K87" s="146" t="b">
        <f>ISNUMBER(MATCH(B87,Batch!A:A,0))</f>
        <v>0</v>
      </c>
      <c r="L87" s="146" t="b">
        <f>ISNUMBER(MATCH(B87,Batch!B:B,0))</f>
        <v>0</v>
      </c>
      <c r="M87" s="146" t="b">
        <f>ISNUMBER(MATCH(B87,passed!A:A,0))</f>
        <v>1</v>
      </c>
    </row>
    <row r="88" spans="1:13" ht="43.5" hidden="1">
      <c r="A88" s="13" t="s">
        <v>129</v>
      </c>
      <c r="B88" s="13" t="s">
        <v>281</v>
      </c>
      <c r="C88" s="13" t="s">
        <v>57</v>
      </c>
      <c r="D88" s="13" t="s">
        <v>10</v>
      </c>
      <c r="E88" s="18" t="s">
        <v>282</v>
      </c>
      <c r="F88" s="23" t="s">
        <v>283</v>
      </c>
      <c r="G88" s="26"/>
      <c r="H88" s="14" t="s">
        <v>10</v>
      </c>
      <c r="I88" s="6"/>
      <c r="J88" s="3"/>
      <c r="K88" s="146" t="b">
        <f>ISNUMBER(MATCH(B88,Batch!A:A,0))</f>
        <v>0</v>
      </c>
      <c r="L88" s="146" t="b">
        <f>ISNUMBER(MATCH(B88,Batch!B:B,0))</f>
        <v>0</v>
      </c>
      <c r="M88" s="146" t="b">
        <f>ISNUMBER(MATCH(B88,passed!A:A,0))</f>
        <v>1</v>
      </c>
    </row>
    <row r="89" spans="1:13" hidden="1">
      <c r="A89" s="13" t="s">
        <v>129</v>
      </c>
      <c r="B89" s="13" t="s">
        <v>284</v>
      </c>
      <c r="C89" s="13" t="s">
        <v>57</v>
      </c>
      <c r="D89" s="13" t="s">
        <v>10</v>
      </c>
      <c r="E89" s="18">
        <v>45370</v>
      </c>
      <c r="F89" s="23"/>
      <c r="G89" s="14"/>
      <c r="H89" s="14" t="s">
        <v>10</v>
      </c>
      <c r="I89" s="6"/>
      <c r="J89" s="3"/>
      <c r="K89" s="146" t="b">
        <f>ISNUMBER(MATCH(B89,Batch!A:A,0))</f>
        <v>0</v>
      </c>
      <c r="L89" s="146" t="b">
        <f>ISNUMBER(MATCH(B89,Batch!B:B,0))</f>
        <v>0</v>
      </c>
      <c r="M89" s="146" t="b">
        <f>ISNUMBER(MATCH(B89,passed!A:A,0))</f>
        <v>1</v>
      </c>
    </row>
    <row r="90" spans="1:13" hidden="1">
      <c r="A90" s="13" t="s">
        <v>129</v>
      </c>
      <c r="B90" s="13" t="s">
        <v>285</v>
      </c>
      <c r="C90" s="13" t="s">
        <v>57</v>
      </c>
      <c r="D90" s="13" t="s">
        <v>10</v>
      </c>
      <c r="E90" s="18">
        <v>45370</v>
      </c>
      <c r="F90" s="23"/>
      <c r="G90" s="14"/>
      <c r="H90" s="14" t="s">
        <v>10</v>
      </c>
      <c r="I90" s="6"/>
      <c r="J90" s="3"/>
      <c r="K90" s="146" t="b">
        <f>ISNUMBER(MATCH(B90,Batch!A:A,0))</f>
        <v>0</v>
      </c>
      <c r="L90" s="146" t="b">
        <f>ISNUMBER(MATCH(B90,Batch!B:B,0))</f>
        <v>0</v>
      </c>
      <c r="M90" s="146" t="b">
        <f>ISNUMBER(MATCH(B90,passed!A:A,0))</f>
        <v>1</v>
      </c>
    </row>
    <row r="91" spans="1:13" hidden="1">
      <c r="A91" s="13" t="s">
        <v>129</v>
      </c>
      <c r="B91" s="13" t="s">
        <v>286</v>
      </c>
      <c r="C91" s="13" t="s">
        <v>57</v>
      </c>
      <c r="D91" s="13" t="s">
        <v>10</v>
      </c>
      <c r="E91" s="18">
        <v>45370</v>
      </c>
      <c r="F91" s="23"/>
      <c r="G91" s="14"/>
      <c r="H91" s="14" t="s">
        <v>10</v>
      </c>
      <c r="I91" s="6"/>
      <c r="J91" s="3"/>
      <c r="K91" s="146" t="b">
        <f>ISNUMBER(MATCH(B91,Batch!A:A,0))</f>
        <v>0</v>
      </c>
      <c r="L91" s="146" t="b">
        <f>ISNUMBER(MATCH(B91,Batch!B:B,0))</f>
        <v>0</v>
      </c>
      <c r="M91" s="146" t="b">
        <f>ISNUMBER(MATCH(B91,passed!A:A,0))</f>
        <v>1</v>
      </c>
    </row>
    <row r="92" spans="1:13" ht="30.75" hidden="1">
      <c r="A92" s="13" t="s">
        <v>129</v>
      </c>
      <c r="B92" s="13" t="s">
        <v>287</v>
      </c>
      <c r="C92" s="13" t="s">
        <v>57</v>
      </c>
      <c r="D92" s="13" t="s">
        <v>10</v>
      </c>
      <c r="E92" s="18">
        <v>45370</v>
      </c>
      <c r="F92" s="143" t="s">
        <v>288</v>
      </c>
      <c r="G92" s="23"/>
      <c r="H92" s="14" t="s">
        <v>10</v>
      </c>
      <c r="I92" s="6"/>
      <c r="J92" s="3"/>
      <c r="K92" s="146" t="b">
        <f>ISNUMBER(MATCH(B92,Batch!A:A,0))</f>
        <v>0</v>
      </c>
      <c r="L92" s="146" t="b">
        <f>ISNUMBER(MATCH(B92,Batch!B:B,0))</f>
        <v>0</v>
      </c>
      <c r="M92" s="146" t="b">
        <f>ISNUMBER(MATCH(B92,passed!A:A,0))</f>
        <v>1</v>
      </c>
    </row>
    <row r="93" spans="1:13" ht="30.75" hidden="1">
      <c r="A93" s="13" t="s">
        <v>129</v>
      </c>
      <c r="B93" s="13" t="s">
        <v>289</v>
      </c>
      <c r="C93" s="13" t="s">
        <v>57</v>
      </c>
      <c r="D93" s="13" t="s">
        <v>10</v>
      </c>
      <c r="E93" s="18">
        <v>45370</v>
      </c>
      <c r="F93" s="143" t="s">
        <v>288</v>
      </c>
      <c r="G93" s="14"/>
      <c r="H93" s="14" t="s">
        <v>10</v>
      </c>
      <c r="I93" s="6"/>
      <c r="J93" s="3"/>
      <c r="K93" s="146" t="b">
        <f>ISNUMBER(MATCH(B93,Batch!A:A,0))</f>
        <v>0</v>
      </c>
      <c r="L93" s="146" t="b">
        <f>ISNUMBER(MATCH(B93,Batch!B:B,0))</f>
        <v>0</v>
      </c>
      <c r="M93" s="146" t="b">
        <f>ISNUMBER(MATCH(B93,passed!A:A,0))</f>
        <v>1</v>
      </c>
    </row>
    <row r="94" spans="1:13" hidden="1">
      <c r="A94" s="13" t="s">
        <v>129</v>
      </c>
      <c r="B94" s="13" t="s">
        <v>290</v>
      </c>
      <c r="C94" s="13" t="s">
        <v>57</v>
      </c>
      <c r="D94" s="13" t="s">
        <v>10</v>
      </c>
      <c r="E94" s="18">
        <v>45370</v>
      </c>
      <c r="F94" s="14"/>
      <c r="G94" s="14"/>
      <c r="H94" s="14" t="s">
        <v>10</v>
      </c>
      <c r="I94" s="6"/>
      <c r="J94" s="3"/>
      <c r="K94" s="146" t="b">
        <f>ISNUMBER(MATCH(B94,Batch!A:A,0))</f>
        <v>0</v>
      </c>
      <c r="L94" s="146" t="b">
        <f>ISNUMBER(MATCH(B94,Batch!B:B,0))</f>
        <v>0</v>
      </c>
      <c r="M94" s="146" t="b">
        <f>ISNUMBER(MATCH(B94,passed!A:A,0))</f>
        <v>1</v>
      </c>
    </row>
    <row r="95" spans="1:13" ht="60.75" hidden="1">
      <c r="A95" s="13" t="s">
        <v>133</v>
      </c>
      <c r="B95" s="13" t="s">
        <v>291</v>
      </c>
      <c r="C95" s="13" t="s">
        <v>57</v>
      </c>
      <c r="D95" s="13" t="s">
        <v>58</v>
      </c>
      <c r="E95" s="18"/>
      <c r="F95" s="14" t="s">
        <v>292</v>
      </c>
      <c r="G95" s="14"/>
      <c r="H95" s="53" t="s">
        <v>154</v>
      </c>
      <c r="I95" s="22" t="s">
        <v>245</v>
      </c>
      <c r="J95" s="3" t="s">
        <v>143</v>
      </c>
      <c r="K95" s="146" t="b">
        <f>ISNUMBER(MATCH(B95,Batch!A:A,0))</f>
        <v>0</v>
      </c>
      <c r="L95" s="146" t="b">
        <f>ISNUMBER(MATCH(B95,Batch!B:B,0))</f>
        <v>1</v>
      </c>
      <c r="M95" s="146" t="b">
        <f>ISNUMBER(MATCH(B95,passed!A:A,0))</f>
        <v>0</v>
      </c>
    </row>
    <row r="96" spans="1:13" ht="45.75" hidden="1">
      <c r="A96" s="13" t="s">
        <v>133</v>
      </c>
      <c r="B96" s="13" t="s">
        <v>293</v>
      </c>
      <c r="C96" s="13" t="s">
        <v>57</v>
      </c>
      <c r="D96" s="13" t="s">
        <v>58</v>
      </c>
      <c r="E96" s="18"/>
      <c r="F96" s="14" t="s">
        <v>294</v>
      </c>
      <c r="G96" s="14"/>
      <c r="H96" s="53" t="s">
        <v>154</v>
      </c>
      <c r="I96" s="22" t="s">
        <v>245</v>
      </c>
      <c r="J96" s="3" t="s">
        <v>143</v>
      </c>
      <c r="K96" s="146" t="b">
        <f>ISNUMBER(MATCH(B96,Batch!A:A,0))</f>
        <v>0</v>
      </c>
      <c r="L96" s="146" t="b">
        <f>ISNUMBER(MATCH(B96,Batch!B:B,0))</f>
        <v>1</v>
      </c>
      <c r="M96" s="146" t="b">
        <f>ISNUMBER(MATCH(B96,passed!A:A,0))</f>
        <v>0</v>
      </c>
    </row>
    <row r="97" spans="1:13" ht="187.5" hidden="1">
      <c r="A97" s="13" t="s">
        <v>133</v>
      </c>
      <c r="B97" s="13" t="s">
        <v>295</v>
      </c>
      <c r="C97" s="13" t="s">
        <v>57</v>
      </c>
      <c r="D97" s="13" t="s">
        <v>21</v>
      </c>
      <c r="E97" s="18" t="s">
        <v>59</v>
      </c>
      <c r="F97" s="14" t="s">
        <v>296</v>
      </c>
      <c r="G97" s="135" t="s">
        <v>297</v>
      </c>
      <c r="H97" s="49" t="s">
        <v>104</v>
      </c>
      <c r="I97" s="22" t="s">
        <v>245</v>
      </c>
      <c r="J97" s="3" t="s">
        <v>143</v>
      </c>
      <c r="K97" s="146" t="b">
        <f>ISNUMBER(MATCH(B97,Batch!A:A,0))</f>
        <v>0</v>
      </c>
      <c r="L97" s="146" t="b">
        <f>ISNUMBER(MATCH(B97,Batch!B:B,0))</f>
        <v>1</v>
      </c>
      <c r="M97" s="146" t="b">
        <f>ISNUMBER(MATCH(B97,passed!A:A,0))</f>
        <v>0</v>
      </c>
    </row>
    <row r="98" spans="1:13" ht="29.25" hidden="1">
      <c r="A98" s="13" t="s">
        <v>133</v>
      </c>
      <c r="B98" s="13" t="s">
        <v>298</v>
      </c>
      <c r="C98" s="13" t="s">
        <v>57</v>
      </c>
      <c r="D98" s="13" t="s">
        <v>21</v>
      </c>
      <c r="E98" s="18" t="s">
        <v>59</v>
      </c>
      <c r="F98" s="14" t="s">
        <v>299</v>
      </c>
      <c r="G98" s="14"/>
      <c r="H98" s="57" t="s">
        <v>180</v>
      </c>
      <c r="I98" s="22" t="s">
        <v>245</v>
      </c>
      <c r="J98" s="3" t="s">
        <v>143</v>
      </c>
      <c r="K98" s="146" t="b">
        <f>ISNUMBER(MATCH(B98,Batch!A:A,0))</f>
        <v>0</v>
      </c>
      <c r="L98" s="146" t="b">
        <f>ISNUMBER(MATCH(B98,Batch!B:B,0))</f>
        <v>1</v>
      </c>
      <c r="M98" s="146" t="b">
        <f>ISNUMBER(MATCH(B98,passed!A:A,0))</f>
        <v>0</v>
      </c>
    </row>
    <row r="99" spans="1:13" ht="60.75" hidden="1">
      <c r="A99" s="13" t="s">
        <v>133</v>
      </c>
      <c r="B99" s="13" t="s">
        <v>300</v>
      </c>
      <c r="C99" s="13" t="s">
        <v>57</v>
      </c>
      <c r="D99" s="13" t="s">
        <v>58</v>
      </c>
      <c r="E99" s="18"/>
      <c r="F99" s="14" t="s">
        <v>301</v>
      </c>
      <c r="G99" s="14"/>
      <c r="H99" s="53" t="s">
        <v>154</v>
      </c>
      <c r="I99" s="22" t="s">
        <v>245</v>
      </c>
      <c r="J99" s="3" t="s">
        <v>143</v>
      </c>
      <c r="K99" s="146" t="b">
        <f>ISNUMBER(MATCH(B99,Batch!A:A,0))</f>
        <v>0</v>
      </c>
      <c r="L99" s="146" t="b">
        <f>ISNUMBER(MATCH(B99,Batch!B:B,0))</f>
        <v>1</v>
      </c>
      <c r="M99" s="146" t="b">
        <f>ISNUMBER(MATCH(B99,passed!A:A,0))</f>
        <v>0</v>
      </c>
    </row>
    <row r="100" spans="1:13" hidden="1">
      <c r="A100" s="13" t="s">
        <v>133</v>
      </c>
      <c r="B100" s="13" t="s">
        <v>302</v>
      </c>
      <c r="C100" s="13" t="s">
        <v>57</v>
      </c>
      <c r="D100" s="13" t="s">
        <v>58</v>
      </c>
      <c r="E100" s="18"/>
      <c r="F100" s="8" t="s">
        <v>303</v>
      </c>
      <c r="G100" s="14"/>
      <c r="H100" s="49" t="s">
        <v>87</v>
      </c>
      <c r="I100" s="22" t="s">
        <v>245</v>
      </c>
      <c r="J100" s="3" t="s">
        <v>143</v>
      </c>
      <c r="K100" s="146" t="b">
        <f>ISNUMBER(MATCH(B100,Batch!A:A,0))</f>
        <v>0</v>
      </c>
      <c r="L100" s="146" t="b">
        <f>ISNUMBER(MATCH(B100,Batch!B:B,0))</f>
        <v>1</v>
      </c>
      <c r="M100" s="146" t="b">
        <f>ISNUMBER(MATCH(B100,passed!A:A,0))</f>
        <v>0</v>
      </c>
    </row>
    <row r="101" spans="1:13" ht="30.75" hidden="1">
      <c r="A101" s="13" t="s">
        <v>133</v>
      </c>
      <c r="B101" s="13" t="s">
        <v>304</v>
      </c>
      <c r="C101" s="13" t="s">
        <v>166</v>
      </c>
      <c r="D101" s="13" t="s">
        <v>58</v>
      </c>
      <c r="E101" s="18"/>
      <c r="F101" s="141" t="s">
        <v>305</v>
      </c>
      <c r="G101" s="141"/>
      <c r="H101" s="141" t="s">
        <v>180</v>
      </c>
      <c r="I101" s="22" t="s">
        <v>245</v>
      </c>
      <c r="J101" s="3" t="s">
        <v>143</v>
      </c>
      <c r="K101" s="146" t="b">
        <f>ISNUMBER(MATCH(B101,Batch!A:A,0))</f>
        <v>0</v>
      </c>
      <c r="L101" s="146" t="b">
        <f>ISNUMBER(MATCH(B101,Batch!B:B,0))</f>
        <v>1</v>
      </c>
      <c r="M101" s="146" t="b">
        <f>ISNUMBER(MATCH(B101,passed!A:A,0))</f>
        <v>0</v>
      </c>
    </row>
    <row r="102" spans="1:13" hidden="1">
      <c r="A102" s="13" t="s">
        <v>133</v>
      </c>
      <c r="B102" s="13" t="s">
        <v>306</v>
      </c>
      <c r="C102" s="13" t="s">
        <v>57</v>
      </c>
      <c r="D102" s="49" t="s">
        <v>10</v>
      </c>
      <c r="E102" s="18" t="s">
        <v>59</v>
      </c>
      <c r="F102" s="14"/>
      <c r="G102" s="14"/>
      <c r="H102" s="14" t="s">
        <v>10</v>
      </c>
      <c r="I102" s="6"/>
      <c r="J102" s="3" t="s">
        <v>143</v>
      </c>
      <c r="K102" s="146" t="b">
        <f>ISNUMBER(MATCH(B102,Batch!A:A,0))</f>
        <v>0</v>
      </c>
      <c r="L102" s="146" t="b">
        <f>ISNUMBER(MATCH(B102,Batch!B:B,0))</f>
        <v>0</v>
      </c>
      <c r="M102" s="146" t="b">
        <f>ISNUMBER(MATCH(B102,passed!A:A,0))</f>
        <v>1</v>
      </c>
    </row>
    <row r="103" spans="1:13" ht="30.75" hidden="1">
      <c r="A103" s="13" t="s">
        <v>77</v>
      </c>
      <c r="B103" s="13" t="s">
        <v>307</v>
      </c>
      <c r="C103" s="13" t="s">
        <v>57</v>
      </c>
      <c r="D103" s="13" t="s">
        <v>58</v>
      </c>
      <c r="E103" s="18"/>
      <c r="F103" s="14" t="s">
        <v>308</v>
      </c>
      <c r="G103" s="14"/>
      <c r="H103" s="53" t="s">
        <v>154</v>
      </c>
      <c r="I103" s="22" t="s">
        <v>245</v>
      </c>
      <c r="J103" s="3" t="s">
        <v>143</v>
      </c>
      <c r="K103" s="146" t="b">
        <f>ISNUMBER(MATCH(B103,Batch!A:A,0))</f>
        <v>0</v>
      </c>
      <c r="L103" s="146" t="b">
        <f>ISNUMBER(MATCH(B103,Batch!B:B,0))</f>
        <v>1</v>
      </c>
      <c r="M103" s="146" t="b">
        <f>ISNUMBER(MATCH(B103,passed!A:A,0))</f>
        <v>0</v>
      </c>
    </row>
    <row r="104" spans="1:13" ht="29.25" hidden="1">
      <c r="A104" s="13" t="s">
        <v>77</v>
      </c>
      <c r="B104" s="13" t="s">
        <v>309</v>
      </c>
      <c r="C104" s="13" t="s">
        <v>57</v>
      </c>
      <c r="D104" s="64" t="s">
        <v>21</v>
      </c>
      <c r="E104" s="18" t="s">
        <v>59</v>
      </c>
      <c r="F104" s="14" t="s">
        <v>299</v>
      </c>
      <c r="G104" s="14"/>
      <c r="H104" s="57" t="s">
        <v>180</v>
      </c>
      <c r="I104" s="22" t="s">
        <v>245</v>
      </c>
      <c r="J104" s="3" t="s">
        <v>143</v>
      </c>
      <c r="K104" s="146" t="b">
        <f>ISNUMBER(MATCH(B104,Batch!A:A,0))</f>
        <v>0</v>
      </c>
      <c r="L104" s="146" t="b">
        <f>ISNUMBER(MATCH(B104,Batch!B:B,0))</f>
        <v>1</v>
      </c>
      <c r="M104" s="146" t="b">
        <f>ISNUMBER(MATCH(B104,passed!A:A,0))</f>
        <v>0</v>
      </c>
    </row>
    <row r="105" spans="1:13" ht="29.25" hidden="1">
      <c r="A105" s="13" t="s">
        <v>77</v>
      </c>
      <c r="B105" s="13" t="s">
        <v>310</v>
      </c>
      <c r="C105" s="13" t="s">
        <v>57</v>
      </c>
      <c r="D105" s="64" t="s">
        <v>21</v>
      </c>
      <c r="E105" s="27" t="s">
        <v>247</v>
      </c>
      <c r="F105" s="14"/>
      <c r="G105" s="14"/>
      <c r="H105" s="57" t="s">
        <v>180</v>
      </c>
      <c r="I105" s="22" t="s">
        <v>245</v>
      </c>
      <c r="J105" s="3" t="s">
        <v>143</v>
      </c>
      <c r="K105" s="146" t="b">
        <f>ISNUMBER(MATCH(B105,Batch!A:A,0))</f>
        <v>0</v>
      </c>
      <c r="L105" s="146" t="b">
        <f>ISNUMBER(MATCH(B105,Batch!B:B,0))</f>
        <v>1</v>
      </c>
      <c r="M105" s="146" t="b">
        <f>ISNUMBER(MATCH(B105,passed!A:A,0))</f>
        <v>0</v>
      </c>
    </row>
    <row r="106" spans="1:13" hidden="1">
      <c r="A106" s="13" t="s">
        <v>77</v>
      </c>
      <c r="B106" s="13" t="s">
        <v>311</v>
      </c>
      <c r="C106" s="13" t="s">
        <v>57</v>
      </c>
      <c r="D106" s="49" t="s">
        <v>10</v>
      </c>
      <c r="E106" s="27" t="s">
        <v>282</v>
      </c>
      <c r="F106" s="14"/>
      <c r="G106" s="14"/>
      <c r="H106" s="14" t="s">
        <v>10</v>
      </c>
      <c r="I106" s="6"/>
      <c r="J106" s="3" t="s">
        <v>143</v>
      </c>
      <c r="K106" s="146" t="b">
        <f>ISNUMBER(MATCH(B106,Batch!A:A,0))</f>
        <v>0</v>
      </c>
      <c r="L106" s="146" t="b">
        <f>ISNUMBER(MATCH(B106,Batch!B:B,0))</f>
        <v>0</v>
      </c>
      <c r="M106" s="146" t="b">
        <f>ISNUMBER(MATCH(B106,passed!A:A,0))</f>
        <v>1</v>
      </c>
    </row>
    <row r="107" spans="1:13" ht="29.25" hidden="1">
      <c r="A107" s="13" t="s">
        <v>77</v>
      </c>
      <c r="B107" s="13" t="s">
        <v>312</v>
      </c>
      <c r="C107" s="13" t="s">
        <v>57</v>
      </c>
      <c r="D107" s="64" t="s">
        <v>21</v>
      </c>
      <c r="E107" s="18" t="s">
        <v>282</v>
      </c>
      <c r="F107" s="14" t="s">
        <v>299</v>
      </c>
      <c r="G107" s="14"/>
      <c r="H107" s="57" t="s">
        <v>180</v>
      </c>
      <c r="I107" s="22" t="s">
        <v>245</v>
      </c>
      <c r="J107" s="3" t="s">
        <v>143</v>
      </c>
      <c r="K107" s="146" t="b">
        <f>ISNUMBER(MATCH(B107,Batch!A:A,0))</f>
        <v>0</v>
      </c>
      <c r="L107" s="146" t="b">
        <f>ISNUMBER(MATCH(B107,Batch!B:B,0))</f>
        <v>1</v>
      </c>
      <c r="M107" s="146" t="b">
        <f>ISNUMBER(MATCH(B107,passed!A:A,0))</f>
        <v>0</v>
      </c>
    </row>
    <row r="108" spans="1:13" ht="29.25" hidden="1">
      <c r="A108" s="13" t="s">
        <v>77</v>
      </c>
      <c r="B108" s="13" t="s">
        <v>313</v>
      </c>
      <c r="C108" s="13" t="s">
        <v>57</v>
      </c>
      <c r="D108" s="64" t="s">
        <v>21</v>
      </c>
      <c r="E108" s="18" t="s">
        <v>59</v>
      </c>
      <c r="F108" s="14" t="s">
        <v>299</v>
      </c>
      <c r="G108" s="14"/>
      <c r="H108" s="57" t="s">
        <v>180</v>
      </c>
      <c r="I108" s="22" t="s">
        <v>245</v>
      </c>
      <c r="J108" s="3" t="s">
        <v>143</v>
      </c>
      <c r="K108" s="146" t="b">
        <f>ISNUMBER(MATCH(B108,Batch!A:A,0))</f>
        <v>0</v>
      </c>
      <c r="L108" s="146" t="b">
        <f>ISNUMBER(MATCH(B108,Batch!B:B,0))</f>
        <v>1</v>
      </c>
      <c r="M108" s="146" t="b">
        <f>ISNUMBER(MATCH(B108,passed!A:A,0))</f>
        <v>0</v>
      </c>
    </row>
    <row r="109" spans="1:13" ht="76.5" hidden="1">
      <c r="A109" s="13" t="s">
        <v>77</v>
      </c>
      <c r="B109" s="13" t="s">
        <v>314</v>
      </c>
      <c r="C109" s="13" t="s">
        <v>57</v>
      </c>
      <c r="D109" s="13" t="s">
        <v>10</v>
      </c>
      <c r="E109" s="18"/>
      <c r="F109" s="14" t="s">
        <v>315</v>
      </c>
      <c r="G109" s="53"/>
      <c r="H109" s="14" t="s">
        <v>10</v>
      </c>
      <c r="I109" s="131"/>
      <c r="J109" s="3" t="s">
        <v>143</v>
      </c>
      <c r="K109" s="146" t="b">
        <f>ISNUMBER(MATCH(B109,Batch!A:A,0))</f>
        <v>1</v>
      </c>
      <c r="L109" s="146" t="b">
        <f>ISNUMBER(MATCH(B109,Batch!B:B,0))</f>
        <v>0</v>
      </c>
      <c r="M109" s="146" t="b">
        <f>ISNUMBER(MATCH(B109,passed!A:A,0))</f>
        <v>1</v>
      </c>
    </row>
    <row r="110" spans="1:13" ht="45.75" hidden="1">
      <c r="A110" s="13" t="s">
        <v>17</v>
      </c>
      <c r="B110" s="13" t="s">
        <v>19</v>
      </c>
      <c r="C110" s="13" t="s">
        <v>105</v>
      </c>
      <c r="D110" s="49" t="s">
        <v>10</v>
      </c>
      <c r="E110" s="18"/>
      <c r="F110" s="14" t="s">
        <v>316</v>
      </c>
      <c r="G110" s="14"/>
      <c r="H110" s="14" t="s">
        <v>10</v>
      </c>
      <c r="I110" s="6"/>
      <c r="J110" s="3"/>
      <c r="K110" s="146" t="b">
        <f>ISNUMBER(MATCH(B110,Batch!A:A,0))</f>
        <v>0</v>
      </c>
      <c r="L110" s="146" t="b">
        <f>ISNUMBER(MATCH(B110,Batch!B:B,0))</f>
        <v>0</v>
      </c>
      <c r="M110" s="146" t="b">
        <f>ISNUMBER(MATCH(B110,passed!A:A,0))</f>
        <v>1</v>
      </c>
    </row>
    <row r="111" spans="1:13" ht="57.75" hidden="1">
      <c r="A111" s="13" t="s">
        <v>17</v>
      </c>
      <c r="B111" s="13" t="s">
        <v>24</v>
      </c>
      <c r="C111" s="13" t="s">
        <v>105</v>
      </c>
      <c r="D111" s="13" t="s">
        <v>10</v>
      </c>
      <c r="E111" s="18" t="s">
        <v>59</v>
      </c>
      <c r="F111" s="14" t="s">
        <v>317</v>
      </c>
      <c r="G111" s="122" t="s">
        <v>318</v>
      </c>
      <c r="H111" s="14" t="s">
        <v>10</v>
      </c>
      <c r="I111" s="6"/>
      <c r="J111" s="5"/>
      <c r="K111" s="146" t="b">
        <f>ISNUMBER(MATCH(B111,Batch!A:A,0))</f>
        <v>1</v>
      </c>
      <c r="L111" s="146" t="b">
        <f>ISNUMBER(MATCH(B111,Batch!B:B,0))</f>
        <v>0</v>
      </c>
      <c r="M111" s="146" t="b">
        <f>ISNUMBER(MATCH(B111,passed!A:A,0))</f>
        <v>1</v>
      </c>
    </row>
    <row r="112" spans="1:13" ht="86.25" hidden="1" customHeight="1">
      <c r="A112" s="13" t="s">
        <v>17</v>
      </c>
      <c r="B112" s="13" t="s">
        <v>28</v>
      </c>
      <c r="C112" s="13" t="s">
        <v>105</v>
      </c>
      <c r="D112" s="49" t="s">
        <v>10</v>
      </c>
      <c r="E112" s="18" t="s">
        <v>59</v>
      </c>
      <c r="F112" s="14"/>
      <c r="G112" s="14"/>
      <c r="H112" s="14" t="s">
        <v>10</v>
      </c>
      <c r="I112" s="6"/>
      <c r="J112" s="3"/>
      <c r="K112" s="146" t="b">
        <f>ISNUMBER(MATCH(B112,Batch!A:A,0))</f>
        <v>0</v>
      </c>
      <c r="L112" s="146" t="b">
        <f>ISNUMBER(MATCH(B112,Batch!B:B,0))</f>
        <v>0</v>
      </c>
      <c r="M112" s="146" t="b">
        <f>ISNUMBER(MATCH(B112,passed!A:A,0))</f>
        <v>1</v>
      </c>
    </row>
    <row r="113" spans="1:13" hidden="1">
      <c r="A113" s="13" t="s">
        <v>17</v>
      </c>
      <c r="B113" s="13" t="s">
        <v>29</v>
      </c>
      <c r="C113" s="13" t="s">
        <v>105</v>
      </c>
      <c r="D113" s="49" t="s">
        <v>10</v>
      </c>
      <c r="E113" s="18" t="s">
        <v>59</v>
      </c>
      <c r="F113" s="14"/>
      <c r="G113" s="14"/>
      <c r="H113" s="14" t="s">
        <v>10</v>
      </c>
      <c r="I113" s="6"/>
      <c r="J113" s="3"/>
      <c r="K113" s="146" t="b">
        <f>ISNUMBER(MATCH(B113,Batch!A:A,0))</f>
        <v>0</v>
      </c>
      <c r="L113" s="146" t="b">
        <f>ISNUMBER(MATCH(B113,Batch!B:B,0))</f>
        <v>0</v>
      </c>
      <c r="M113" s="146" t="b">
        <f>ISNUMBER(MATCH(B113,passed!A:A,0))</f>
        <v>1</v>
      </c>
    </row>
    <row r="114" spans="1:13" ht="106.5" hidden="1">
      <c r="A114" s="13" t="s">
        <v>31</v>
      </c>
      <c r="B114" s="13" t="s">
        <v>35</v>
      </c>
      <c r="C114" s="13" t="s">
        <v>105</v>
      </c>
      <c r="D114" s="13" t="s">
        <v>10</v>
      </c>
      <c r="E114" s="18" t="s">
        <v>59</v>
      </c>
      <c r="F114" s="14" t="s">
        <v>319</v>
      </c>
      <c r="G114" s="24" t="s">
        <v>320</v>
      </c>
      <c r="H114" s="14" t="s">
        <v>10</v>
      </c>
      <c r="I114" s="6"/>
      <c r="J114" s="3"/>
      <c r="K114" s="146" t="b">
        <f>ISNUMBER(MATCH(B114,Batch!A:A,0))</f>
        <v>1</v>
      </c>
      <c r="L114" s="146" t="b">
        <f>ISNUMBER(MATCH(B114,Batch!B:B,0))</f>
        <v>0</v>
      </c>
      <c r="M114" s="146" t="b">
        <f>ISNUMBER(MATCH(B114,passed!A:A,0))</f>
        <v>1</v>
      </c>
    </row>
    <row r="115" spans="1:13" ht="96.75" hidden="1" customHeight="1">
      <c r="A115" s="13" t="s">
        <v>31</v>
      </c>
      <c r="B115" s="13" t="s">
        <v>42</v>
      </c>
      <c r="C115" s="13" t="s">
        <v>105</v>
      </c>
      <c r="D115" s="13" t="s">
        <v>58</v>
      </c>
      <c r="E115" s="18">
        <v>45379</v>
      </c>
      <c r="F115" s="80" t="s">
        <v>321</v>
      </c>
      <c r="G115" s="80" t="s">
        <v>322</v>
      </c>
      <c r="H115" s="49" t="s">
        <v>104</v>
      </c>
      <c r="I115" s="116" t="s">
        <v>115</v>
      </c>
      <c r="J115" s="63" t="s">
        <v>116</v>
      </c>
      <c r="K115" s="146" t="b">
        <f>ISNUMBER(MATCH(B115,Batch!A:A,0))</f>
        <v>0</v>
      </c>
      <c r="L115" s="146" t="b">
        <f>ISNUMBER(MATCH(B115,Batch!B:B,0))</f>
        <v>1</v>
      </c>
      <c r="M115" s="146" t="b">
        <f>ISNUMBER(MATCH(B115,passed!A:A,0))</f>
        <v>0</v>
      </c>
    </row>
    <row r="116" spans="1:13" ht="72.75" hidden="1">
      <c r="A116" s="13" t="s">
        <v>323</v>
      </c>
      <c r="B116" s="60" t="s">
        <v>324</v>
      </c>
      <c r="C116" s="13" t="s">
        <v>325</v>
      </c>
      <c r="D116" s="49" t="s">
        <v>10</v>
      </c>
      <c r="E116" s="136" t="s">
        <v>326</v>
      </c>
      <c r="F116" s="19" t="s">
        <v>327</v>
      </c>
      <c r="G116" s="3"/>
      <c r="H116" s="14" t="s">
        <v>10</v>
      </c>
      <c r="I116" s="54" t="s">
        <v>328</v>
      </c>
      <c r="J116" s="3" t="s">
        <v>116</v>
      </c>
      <c r="K116" s="146" t="b">
        <f>ISNUMBER(MATCH(B116,Batch!A:A,0))</f>
        <v>0</v>
      </c>
      <c r="L116" s="146" t="b">
        <f>ISNUMBER(MATCH(B116,Batch!B:B,0))</f>
        <v>0</v>
      </c>
      <c r="M116" s="146" t="b">
        <f>ISNUMBER(MATCH(B116,passed!A:A,0))</f>
        <v>1</v>
      </c>
    </row>
    <row r="117" spans="1:13" ht="15" hidden="1" customHeight="1">
      <c r="A117" s="13" t="s">
        <v>83</v>
      </c>
      <c r="B117" s="13" t="s">
        <v>329</v>
      </c>
      <c r="C117" s="13" t="s">
        <v>330</v>
      </c>
      <c r="D117" s="13" t="s">
        <v>58</v>
      </c>
      <c r="E117" s="77"/>
      <c r="F117" s="3"/>
      <c r="G117" s="3"/>
      <c r="H117" s="3"/>
      <c r="I117" s="3"/>
      <c r="J117" s="3"/>
      <c r="K117" s="146" t="b">
        <f>ISNUMBER(MATCH(B117,Batch!A:A,0))</f>
        <v>0</v>
      </c>
      <c r="L117" s="146" t="b">
        <f>ISNUMBER(MATCH(B117,Batch!B:B,0))</f>
        <v>0</v>
      </c>
      <c r="M117" s="146" t="b">
        <f>ISNUMBER(MATCH(B117,passed!A:A,0))</f>
        <v>0</v>
      </c>
    </row>
    <row r="118" spans="1:13" ht="15" hidden="1" customHeight="1">
      <c r="A118" s="13" t="s">
        <v>331</v>
      </c>
      <c r="B118" s="13" t="s">
        <v>332</v>
      </c>
      <c r="C118" s="13" t="s">
        <v>330</v>
      </c>
      <c r="D118" s="13" t="s">
        <v>58</v>
      </c>
      <c r="E118" s="77"/>
      <c r="F118" s="3"/>
      <c r="G118" s="3"/>
      <c r="H118" s="3"/>
      <c r="I118" s="3"/>
      <c r="J118" s="3"/>
      <c r="K118" s="146" t="b">
        <f>ISNUMBER(MATCH(B118,Batch!A:A,0))</f>
        <v>0</v>
      </c>
      <c r="L118" s="146" t="b">
        <f>ISNUMBER(MATCH(B118,Batch!B:B,0))</f>
        <v>0</v>
      </c>
      <c r="M118" s="146" t="b">
        <f>ISNUMBER(MATCH(B118,passed!A:A,0))</f>
        <v>0</v>
      </c>
    </row>
    <row r="119" spans="1:13" ht="15" hidden="1" customHeight="1">
      <c r="A119" s="13" t="s">
        <v>333</v>
      </c>
      <c r="B119" s="13" t="s">
        <v>334</v>
      </c>
      <c r="C119" s="13" t="s">
        <v>330</v>
      </c>
      <c r="D119" s="13" t="s">
        <v>58</v>
      </c>
      <c r="E119" s="77"/>
      <c r="F119" s="3"/>
      <c r="G119" s="3"/>
      <c r="H119" s="3"/>
      <c r="I119" s="3"/>
      <c r="J119" s="3"/>
      <c r="K119" s="146" t="b">
        <f>ISNUMBER(MATCH(B119,Batch!A:A,0))</f>
        <v>0</v>
      </c>
      <c r="L119" s="146" t="b">
        <f>ISNUMBER(MATCH(B119,Batch!B:B,0))</f>
        <v>0</v>
      </c>
      <c r="M119" s="146" t="b">
        <f>ISNUMBER(MATCH(B119,passed!A:A,0))</f>
        <v>0</v>
      </c>
    </row>
    <row r="120" spans="1:13" ht="15" hidden="1" customHeight="1">
      <c r="A120" s="13" t="s">
        <v>333</v>
      </c>
      <c r="B120" s="13" t="s">
        <v>335</v>
      </c>
      <c r="C120" s="13" t="s">
        <v>330</v>
      </c>
      <c r="D120" s="13" t="s">
        <v>58</v>
      </c>
      <c r="E120" s="77"/>
      <c r="F120" s="3"/>
      <c r="G120" s="3"/>
      <c r="H120" s="3"/>
      <c r="I120" s="3"/>
      <c r="J120" s="3"/>
      <c r="K120" s="146" t="b">
        <f>ISNUMBER(MATCH(B120,Batch!A:A,0))</f>
        <v>0</v>
      </c>
      <c r="L120" s="146" t="b">
        <f>ISNUMBER(MATCH(B120,Batch!B:B,0))</f>
        <v>0</v>
      </c>
      <c r="M120" s="146" t="b">
        <f>ISNUMBER(MATCH(B120,passed!A:A,0))</f>
        <v>0</v>
      </c>
    </row>
    <row r="121" spans="1:13" ht="15" hidden="1" customHeight="1">
      <c r="A121" s="13" t="s">
        <v>333</v>
      </c>
      <c r="B121" s="13" t="s">
        <v>336</v>
      </c>
      <c r="C121" s="13" t="s">
        <v>330</v>
      </c>
      <c r="D121" s="13" t="s">
        <v>58</v>
      </c>
      <c r="E121" s="77"/>
      <c r="F121" s="3"/>
      <c r="G121" s="3"/>
      <c r="H121" s="3"/>
      <c r="I121" s="3"/>
      <c r="J121" s="3"/>
      <c r="K121" s="146" t="b">
        <f>ISNUMBER(MATCH(B121,Batch!A:A,0))</f>
        <v>0</v>
      </c>
      <c r="L121" s="146" t="b">
        <f>ISNUMBER(MATCH(B121,Batch!B:B,0))</f>
        <v>0</v>
      </c>
      <c r="M121" s="146" t="b">
        <f>ISNUMBER(MATCH(B121,passed!A:A,0))</f>
        <v>0</v>
      </c>
    </row>
    <row r="122" spans="1:13" ht="15" hidden="1" customHeight="1">
      <c r="A122" s="13" t="s">
        <v>333</v>
      </c>
      <c r="B122" s="13" t="s">
        <v>337</v>
      </c>
      <c r="C122" s="13" t="s">
        <v>330</v>
      </c>
      <c r="D122" s="13" t="s">
        <v>58</v>
      </c>
      <c r="E122" s="77"/>
      <c r="F122" s="3"/>
      <c r="G122" s="3"/>
      <c r="H122" s="3"/>
      <c r="I122" s="3"/>
      <c r="J122" s="3"/>
      <c r="K122" s="146" t="b">
        <f>ISNUMBER(MATCH(B122,Batch!A:A,0))</f>
        <v>0</v>
      </c>
      <c r="L122" s="146" t="b">
        <f>ISNUMBER(MATCH(B122,Batch!B:B,0))</f>
        <v>0</v>
      </c>
      <c r="M122" s="146" t="b">
        <f>ISNUMBER(MATCH(B122,passed!A:A,0))</f>
        <v>0</v>
      </c>
    </row>
    <row r="123" spans="1:13" ht="15" hidden="1" customHeight="1">
      <c r="A123" s="13" t="s">
        <v>333</v>
      </c>
      <c r="B123" s="13" t="s">
        <v>338</v>
      </c>
      <c r="C123" s="13" t="s">
        <v>330</v>
      </c>
      <c r="D123" s="13" t="s">
        <v>58</v>
      </c>
      <c r="E123" s="3"/>
      <c r="F123" s="3"/>
      <c r="G123" s="3"/>
      <c r="H123" s="3"/>
      <c r="I123" s="3"/>
      <c r="J123" s="3"/>
      <c r="K123" s="146" t="b">
        <f>ISNUMBER(MATCH(B123,Batch!A:A,0))</f>
        <v>0</v>
      </c>
      <c r="L123" s="146" t="b">
        <f>ISNUMBER(MATCH(B123,Batch!B:B,0))</f>
        <v>0</v>
      </c>
      <c r="M123" s="146" t="b">
        <f>ISNUMBER(MATCH(B123,passed!A:A,0))</f>
        <v>0</v>
      </c>
    </row>
    <row r="124" spans="1:13" ht="15" hidden="1" customHeight="1">
      <c r="A124" s="13" t="s">
        <v>333</v>
      </c>
      <c r="B124" s="13" t="s">
        <v>339</v>
      </c>
      <c r="C124" s="13" t="s">
        <v>330</v>
      </c>
      <c r="D124" s="13" t="s">
        <v>58</v>
      </c>
      <c r="E124" s="3"/>
      <c r="F124" s="3"/>
      <c r="G124" s="3"/>
      <c r="H124" s="3"/>
      <c r="I124" s="3"/>
      <c r="J124" s="3"/>
      <c r="K124" s="146" t="b">
        <f>ISNUMBER(MATCH(B124,Batch!A:A,0))</f>
        <v>0</v>
      </c>
      <c r="L124" s="146" t="b">
        <f>ISNUMBER(MATCH(B124,Batch!B:B,0))</f>
        <v>0</v>
      </c>
      <c r="M124" s="146" t="b">
        <f>ISNUMBER(MATCH(B124,passed!A:A,0))</f>
        <v>0</v>
      </c>
    </row>
    <row r="125" spans="1:13" ht="15" hidden="1" customHeight="1">
      <c r="A125" s="13" t="s">
        <v>333</v>
      </c>
      <c r="B125" s="13" t="s">
        <v>340</v>
      </c>
      <c r="C125" s="13" t="s">
        <v>330</v>
      </c>
      <c r="D125" s="13" t="s">
        <v>58</v>
      </c>
      <c r="E125" s="77"/>
      <c r="F125" s="3"/>
      <c r="G125" s="3"/>
      <c r="H125" s="3"/>
      <c r="I125" s="3"/>
      <c r="J125" s="3"/>
      <c r="K125" s="146" t="b">
        <f>ISNUMBER(MATCH(B125,Batch!A:A,0))</f>
        <v>0</v>
      </c>
      <c r="L125" s="146" t="b">
        <f>ISNUMBER(MATCH(B125,Batch!B:B,0))</f>
        <v>0</v>
      </c>
      <c r="M125" s="146" t="b">
        <f>ISNUMBER(MATCH(B125,passed!A:A,0))</f>
        <v>0</v>
      </c>
    </row>
    <row r="126" spans="1:13" ht="15" hidden="1" customHeight="1">
      <c r="A126" s="13" t="s">
        <v>333</v>
      </c>
      <c r="B126" s="13" t="s">
        <v>341</v>
      </c>
      <c r="C126" s="13" t="s">
        <v>330</v>
      </c>
      <c r="D126" s="13" t="s">
        <v>58</v>
      </c>
      <c r="E126" s="77"/>
      <c r="F126" s="3"/>
      <c r="G126" s="3"/>
      <c r="H126" s="3"/>
      <c r="I126" s="3"/>
      <c r="J126" s="3"/>
      <c r="K126" s="146" t="b">
        <f>ISNUMBER(MATCH(B126,Batch!A:A,0))</f>
        <v>0</v>
      </c>
      <c r="L126" s="146" t="b">
        <f>ISNUMBER(MATCH(B126,Batch!B:B,0))</f>
        <v>0</v>
      </c>
      <c r="M126" s="146" t="b">
        <f>ISNUMBER(MATCH(B126,passed!A:A,0))</f>
        <v>0</v>
      </c>
    </row>
  </sheetData>
  <autoFilter ref="A1:AT126" xr:uid="{802C8D97-0C1D-422C-942E-303F82C07E56}">
    <filterColumn colId="9">
      <filters>
        <filter val="M"/>
      </filters>
    </filterColumn>
  </autoFilter>
  <conditionalFormatting sqref="D38:E38 E37 D51:E55 E50 E56 D76:E78 D103:E103 D43:E49 D95:E95 D68 D111:E111 D41:E41 E42 D115:E115 E112:E114 D1:E12 E13 D14:E19 D29:E29 D57:E58 D23:E23 E20:E22 E24:E28 D31:E36 E30 E40 D64:E64 E65:E75 D86:E86 E79:E85 E87:E94 E59:E63 E104:E110 E96:E102">
    <cfRule type="cellIs" dxfId="511" priority="181" operator="equal">
      <formula>"Not Start"</formula>
    </cfRule>
  </conditionalFormatting>
  <conditionalFormatting sqref="D38:E38 E37 D51:E55 E50 E56 D76:E78 D103:E103 D43:E49 D95:E95 D68 D111:E111 D41:E41 E42 D115:E115 E112:E114 D1:E12 E13 D14:E19 D29:E29 D57:E58 D23:E23 E20:E22 E24:E28 D31:E36 E30 E40 D64:E64 E65:E75 D86:E86 E79:E85 E87:E94 E59:E63 E104:E110 E96:E102">
    <cfRule type="cellIs" dxfId="510" priority="180" operator="equal">
      <formula>"Passed"</formula>
    </cfRule>
  </conditionalFormatting>
  <conditionalFormatting sqref="D38:E38 E37 D51:E55 E50 E56 D76:E78 D103:E103 D43:E49 D95:E95 D68 D111:E111 D41:E41 E42 D115:E115 E112:E114 D1:E12 E13 D14:E19 D29:E29 D57:E58 D23:E23 E20:E22 E24:E28 D31:E36 E30 E40 D64:E64 E65:E75 D86:E86 E79:E85 E87:E94 E59:E63 E104:E110 E96:E102">
    <cfRule type="cellIs" dxfId="509" priority="179" operator="equal">
      <formula>"Failed"</formula>
    </cfRule>
  </conditionalFormatting>
  <conditionalFormatting sqref="D38:E38 E37 D51:E55 E50 E56 D76:E78 D103:E103 D43:E49 D95:E95 D68 D111:E111 D41:E41 E42 D115:E115 E112:E114 D1:E12 E13 D14:E19 D29:E29 D57:E58 D23:E23 E20:E22 E24:E28 D31:E36 E30 E40 D64:E64 E65:E75 D86:E86 E79:E85 E87:E94 E59:E63 E104:E110 E96:E102">
    <cfRule type="cellIs" dxfId="508" priority="177" operator="equal">
      <formula>"Ready to execute"</formula>
    </cfRule>
  </conditionalFormatting>
  <conditionalFormatting sqref="I105:I1048576 I91:I103 I64:I70 I1:I16 I18:I36 I38:I62 I73:I89">
    <cfRule type="cellIs" dxfId="507" priority="124" operator="equal">
      <formula>"source"</formula>
    </cfRule>
    <cfRule type="cellIs" dxfId="506" priority="174" operator="equal">
      <formula>"source"</formula>
    </cfRule>
  </conditionalFormatting>
  <conditionalFormatting sqref="D117:D126">
    <cfRule type="cellIs" dxfId="505" priority="153" operator="equal">
      <formula>"Not Start"</formula>
    </cfRule>
  </conditionalFormatting>
  <conditionalFormatting sqref="D117:D126">
    <cfRule type="cellIs" dxfId="504" priority="152" operator="equal">
      <formula>"Passed"</formula>
    </cfRule>
  </conditionalFormatting>
  <conditionalFormatting sqref="D117:D126">
    <cfRule type="cellIs" dxfId="503" priority="151" operator="equal">
      <formula>"Failed"</formula>
    </cfRule>
  </conditionalFormatting>
  <conditionalFormatting sqref="D117:D126">
    <cfRule type="cellIs" dxfId="502" priority="150" operator="equal">
      <formula>"Ready to execute"</formula>
    </cfRule>
  </conditionalFormatting>
  <conditionalFormatting sqref="D37">
    <cfRule type="cellIs" dxfId="501" priority="149" operator="equal">
      <formula>"Passed"</formula>
    </cfRule>
  </conditionalFormatting>
  <conditionalFormatting sqref="D37">
    <cfRule type="cellIs" dxfId="500" priority="148" operator="equal">
      <formula>"Not Start"</formula>
    </cfRule>
  </conditionalFormatting>
  <conditionalFormatting sqref="D37">
    <cfRule type="cellIs" dxfId="499" priority="147" operator="equal">
      <formula>"Failed"</formula>
    </cfRule>
  </conditionalFormatting>
  <conditionalFormatting sqref="D37">
    <cfRule type="cellIs" dxfId="498" priority="146" operator="equal">
      <formula>"Ready to execute"</formula>
    </cfRule>
  </conditionalFormatting>
  <conditionalFormatting sqref="D39">
    <cfRule type="cellIs" dxfId="497" priority="145" operator="equal">
      <formula>"Passed"</formula>
    </cfRule>
  </conditionalFormatting>
  <conditionalFormatting sqref="D39">
    <cfRule type="cellIs" dxfId="496" priority="144" operator="equal">
      <formula>"Not Start"</formula>
    </cfRule>
  </conditionalFormatting>
  <conditionalFormatting sqref="D39">
    <cfRule type="cellIs" dxfId="495" priority="143" operator="equal">
      <formula>"Failed"</formula>
    </cfRule>
  </conditionalFormatting>
  <conditionalFormatting sqref="D39">
    <cfRule type="cellIs" dxfId="494" priority="142" operator="equal">
      <formula>"Ready to execute"</formula>
    </cfRule>
  </conditionalFormatting>
  <conditionalFormatting sqref="D42">
    <cfRule type="cellIs" dxfId="493" priority="141" operator="equal">
      <formula>"Passed"</formula>
    </cfRule>
  </conditionalFormatting>
  <conditionalFormatting sqref="D42">
    <cfRule type="cellIs" dxfId="492" priority="140" operator="equal">
      <formula>"Not Start"</formula>
    </cfRule>
  </conditionalFormatting>
  <conditionalFormatting sqref="D42">
    <cfRule type="cellIs" dxfId="491" priority="139" operator="equal">
      <formula>"Failed"</formula>
    </cfRule>
  </conditionalFormatting>
  <conditionalFormatting sqref="D42">
    <cfRule type="cellIs" dxfId="490" priority="138" operator="equal">
      <formula>"Ready to execute"</formula>
    </cfRule>
  </conditionalFormatting>
  <conditionalFormatting sqref="D100">
    <cfRule type="cellIs" dxfId="489" priority="133" operator="equal">
      <formula>"Passed"</formula>
    </cfRule>
  </conditionalFormatting>
  <conditionalFormatting sqref="D100">
    <cfRule type="cellIs" dxfId="488" priority="132" operator="equal">
      <formula>"Not Start"</formula>
    </cfRule>
  </conditionalFormatting>
  <conditionalFormatting sqref="D100">
    <cfRule type="cellIs" dxfId="487" priority="131" operator="equal">
      <formula>"Failed"</formula>
    </cfRule>
  </conditionalFormatting>
  <conditionalFormatting sqref="D100">
    <cfRule type="cellIs" dxfId="486" priority="130" operator="equal">
      <formula>"Ready to execute"</formula>
    </cfRule>
  </conditionalFormatting>
  <conditionalFormatting sqref="D101">
    <cfRule type="cellIs" dxfId="485" priority="129" operator="equal">
      <formula>"Passed"</formula>
    </cfRule>
  </conditionalFormatting>
  <conditionalFormatting sqref="D101">
    <cfRule type="cellIs" dxfId="484" priority="128" operator="equal">
      <formula>"Not Start"</formula>
    </cfRule>
  </conditionalFormatting>
  <conditionalFormatting sqref="D101">
    <cfRule type="cellIs" dxfId="483" priority="127" operator="equal">
      <formula>"Failed"</formula>
    </cfRule>
  </conditionalFormatting>
  <conditionalFormatting sqref="D101">
    <cfRule type="cellIs" dxfId="482" priority="126" operator="equal">
      <formula>"Ready to execute"</formula>
    </cfRule>
  </conditionalFormatting>
  <conditionalFormatting sqref="J1:K1">
    <cfRule type="cellIs" dxfId="481" priority="125" operator="equal">
      <formula>"source"</formula>
    </cfRule>
  </conditionalFormatting>
  <conditionalFormatting sqref="D56">
    <cfRule type="cellIs" dxfId="480" priority="123" operator="equal">
      <formula>"Passed"</formula>
    </cfRule>
  </conditionalFormatting>
  <conditionalFormatting sqref="D56">
    <cfRule type="cellIs" dxfId="479" priority="122" operator="equal">
      <formula>"Not Start"</formula>
    </cfRule>
  </conditionalFormatting>
  <conditionalFormatting sqref="D56">
    <cfRule type="cellIs" dxfId="478" priority="121" operator="equal">
      <formula>"Failed"</formula>
    </cfRule>
  </conditionalFormatting>
  <conditionalFormatting sqref="D56">
    <cfRule type="cellIs" dxfId="477" priority="120" operator="equal">
      <formula>"Ready to execute"</formula>
    </cfRule>
  </conditionalFormatting>
  <conditionalFormatting sqref="D65">
    <cfRule type="cellIs" dxfId="476" priority="119" operator="equal">
      <formula>"Passed"</formula>
    </cfRule>
  </conditionalFormatting>
  <conditionalFormatting sqref="D65">
    <cfRule type="cellIs" dxfId="475" priority="118" operator="equal">
      <formula>"Not Start"</formula>
    </cfRule>
  </conditionalFormatting>
  <conditionalFormatting sqref="D65">
    <cfRule type="cellIs" dxfId="474" priority="117" operator="equal">
      <formula>"Failed"</formula>
    </cfRule>
  </conditionalFormatting>
  <conditionalFormatting sqref="D65">
    <cfRule type="cellIs" dxfId="473" priority="116" operator="equal">
      <formula>"Ready to execute"</formula>
    </cfRule>
  </conditionalFormatting>
  <conditionalFormatting sqref="D73">
    <cfRule type="cellIs" dxfId="472" priority="113" operator="equal">
      <formula>"Passed"</formula>
    </cfRule>
  </conditionalFormatting>
  <conditionalFormatting sqref="D73">
    <cfRule type="cellIs" dxfId="471" priority="112" operator="equal">
      <formula>"Not Start"</formula>
    </cfRule>
  </conditionalFormatting>
  <conditionalFormatting sqref="D73">
    <cfRule type="cellIs" dxfId="470" priority="111" operator="equal">
      <formula>"Failed"</formula>
    </cfRule>
  </conditionalFormatting>
  <conditionalFormatting sqref="D73">
    <cfRule type="cellIs" dxfId="469" priority="110" operator="equal">
      <formula>"Ready to execute"</formula>
    </cfRule>
  </conditionalFormatting>
  <conditionalFormatting sqref="I71:I72">
    <cfRule type="cellIs" dxfId="468" priority="106" operator="equal">
      <formula>"source"</formula>
    </cfRule>
    <cfRule type="cellIs" dxfId="467" priority="107" operator="equal">
      <formula>"source"</formula>
    </cfRule>
  </conditionalFormatting>
  <conditionalFormatting sqref="I63">
    <cfRule type="cellIs" dxfId="466" priority="100" operator="equal">
      <formula>"source"</formula>
    </cfRule>
    <cfRule type="cellIs" dxfId="465" priority="101" operator="equal">
      <formula>"source"</formula>
    </cfRule>
  </conditionalFormatting>
  <conditionalFormatting sqref="E116">
    <cfRule type="cellIs" dxfId="464" priority="99" operator="equal">
      <formula>"Not Start"</formula>
    </cfRule>
  </conditionalFormatting>
  <conditionalFormatting sqref="E116">
    <cfRule type="cellIs" dxfId="463" priority="98" operator="equal">
      <formula>"Passed"</formula>
    </cfRule>
  </conditionalFormatting>
  <conditionalFormatting sqref="E116">
    <cfRule type="cellIs" dxfId="462" priority="97" operator="equal">
      <formula>"Failed"</formula>
    </cfRule>
  </conditionalFormatting>
  <conditionalFormatting sqref="E116">
    <cfRule type="cellIs" dxfId="461" priority="96" operator="equal">
      <formula>"Ready to execute"</formula>
    </cfRule>
  </conditionalFormatting>
  <conditionalFormatting sqref="D110 D112:D113">
    <cfRule type="cellIs" dxfId="460" priority="83" operator="equal">
      <formula>"Passed"</formula>
    </cfRule>
  </conditionalFormatting>
  <conditionalFormatting sqref="D110 D112:D113">
    <cfRule type="cellIs" dxfId="459" priority="82" operator="equal">
      <formula>"Not Start"</formula>
    </cfRule>
  </conditionalFormatting>
  <conditionalFormatting sqref="D110 D112:D113">
    <cfRule type="cellIs" dxfId="458" priority="81" operator="equal">
      <formula>"Failed"</formula>
    </cfRule>
  </conditionalFormatting>
  <conditionalFormatting sqref="D110 D112:D113">
    <cfRule type="cellIs" dxfId="457" priority="80" operator="equal">
      <formula>"Ready to execute"</formula>
    </cfRule>
  </conditionalFormatting>
  <conditionalFormatting sqref="D50">
    <cfRule type="cellIs" dxfId="456" priority="79" operator="equal">
      <formula>"Passed"</formula>
    </cfRule>
  </conditionalFormatting>
  <conditionalFormatting sqref="D50">
    <cfRule type="cellIs" dxfId="455" priority="78" operator="equal">
      <formula>"Not Start"</formula>
    </cfRule>
  </conditionalFormatting>
  <conditionalFormatting sqref="D50">
    <cfRule type="cellIs" dxfId="454" priority="77" operator="equal">
      <formula>"Failed"</formula>
    </cfRule>
  </conditionalFormatting>
  <conditionalFormatting sqref="D50">
    <cfRule type="cellIs" dxfId="453" priority="76" operator="equal">
      <formula>"Ready to execute"</formula>
    </cfRule>
  </conditionalFormatting>
  <conditionalFormatting sqref="D96">
    <cfRule type="cellIs" dxfId="452" priority="71" operator="equal">
      <formula>"Passed"</formula>
    </cfRule>
  </conditionalFormatting>
  <conditionalFormatting sqref="D96">
    <cfRule type="cellIs" dxfId="451" priority="70" operator="equal">
      <formula>"Not Start"</formula>
    </cfRule>
  </conditionalFormatting>
  <conditionalFormatting sqref="D96">
    <cfRule type="cellIs" dxfId="450" priority="69" operator="equal">
      <formula>"Failed"</formula>
    </cfRule>
  </conditionalFormatting>
  <conditionalFormatting sqref="D96">
    <cfRule type="cellIs" dxfId="449" priority="68" operator="equal">
      <formula>"Ready to execute"</formula>
    </cfRule>
  </conditionalFormatting>
  <conditionalFormatting sqref="D99">
    <cfRule type="cellIs" dxfId="448" priority="67" operator="equal">
      <formula>"Passed"</formula>
    </cfRule>
  </conditionalFormatting>
  <conditionalFormatting sqref="D99">
    <cfRule type="cellIs" dxfId="447" priority="66" operator="equal">
      <formula>"Not Start"</formula>
    </cfRule>
  </conditionalFormatting>
  <conditionalFormatting sqref="D99">
    <cfRule type="cellIs" dxfId="446" priority="65" operator="equal">
      <formula>"Failed"</formula>
    </cfRule>
  </conditionalFormatting>
  <conditionalFormatting sqref="D99">
    <cfRule type="cellIs" dxfId="445" priority="64" operator="equal">
      <formula>"Ready to execute"</formula>
    </cfRule>
  </conditionalFormatting>
  <conditionalFormatting sqref="D13 D20 D25:D28 D30 D40 D61:D63 D66 D69:D70 D72 D74:D75 D79:D83 D85 D87:D94 D102 D106 D109 D114 D116">
    <cfRule type="cellIs" dxfId="444" priority="49" operator="equal">
      <formula>"Passed"</formula>
    </cfRule>
  </conditionalFormatting>
  <conditionalFormatting sqref="D13 D20 D25:D28 D30 D40 D61:D63 D66 D69:D70 D72 D74:D75 D79:D83 D85 D87:D94 D102 D106 D109 D114 D116">
    <cfRule type="cellIs" dxfId="443" priority="48" operator="equal">
      <formula>"Not Start"</formula>
    </cfRule>
  </conditionalFormatting>
  <conditionalFormatting sqref="D13 D20 D25:D28 D30 D40 D61:D63 D66 D69:D70 D72 D74:D75 D79:D83 D85 D87:D94 D102 D106 D109 D114 D116">
    <cfRule type="cellIs" dxfId="442" priority="47" operator="equal">
      <formula>"Failed"</formula>
    </cfRule>
  </conditionalFormatting>
  <conditionalFormatting sqref="D13 D20 D25:D28 D30 D40 D61:D63 D66 D69:D70 D72 D74:D75 D79:D83 D85 D87:D94 D102 D106 D109 D114 D116">
    <cfRule type="cellIs" dxfId="441" priority="46" operator="equal">
      <formula>"Ready to execute"</formula>
    </cfRule>
  </conditionalFormatting>
  <conditionalFormatting sqref="D24">
    <cfRule type="cellIs" dxfId="440" priority="41" operator="equal">
      <formula>"Passed"</formula>
    </cfRule>
  </conditionalFormatting>
  <conditionalFormatting sqref="D24">
    <cfRule type="cellIs" dxfId="439" priority="40" operator="equal">
      <formula>"Not Start"</formula>
    </cfRule>
  </conditionalFormatting>
  <conditionalFormatting sqref="D24">
    <cfRule type="cellIs" dxfId="438" priority="39" operator="equal">
      <formula>"Failed"</formula>
    </cfRule>
  </conditionalFormatting>
  <conditionalFormatting sqref="D24">
    <cfRule type="cellIs" dxfId="437" priority="38" operator="equal">
      <formula>"Ready to execute"</formula>
    </cfRule>
  </conditionalFormatting>
  <conditionalFormatting sqref="D67">
    <cfRule type="cellIs" dxfId="436" priority="37" operator="equal">
      <formula>"Passed"</formula>
    </cfRule>
  </conditionalFormatting>
  <conditionalFormatting sqref="D67">
    <cfRule type="cellIs" dxfId="435" priority="36" operator="equal">
      <formula>"Not Start"</formula>
    </cfRule>
  </conditionalFormatting>
  <conditionalFormatting sqref="D67">
    <cfRule type="cellIs" dxfId="434" priority="35" operator="equal">
      <formula>"Failed"</formula>
    </cfRule>
  </conditionalFormatting>
  <conditionalFormatting sqref="D67">
    <cfRule type="cellIs" dxfId="433" priority="34" operator="equal">
      <formula>"Ready to execute"</formula>
    </cfRule>
  </conditionalFormatting>
  <conditionalFormatting sqref="D60">
    <cfRule type="cellIs" dxfId="432" priority="33" operator="equal">
      <formula>"Passed"</formula>
    </cfRule>
  </conditionalFormatting>
  <conditionalFormatting sqref="D60">
    <cfRule type="cellIs" dxfId="431" priority="32" operator="equal">
      <formula>"Not Start"</formula>
    </cfRule>
  </conditionalFormatting>
  <conditionalFormatting sqref="D60">
    <cfRule type="cellIs" dxfId="430" priority="31" operator="equal">
      <formula>"Failed"</formula>
    </cfRule>
  </conditionalFormatting>
  <conditionalFormatting sqref="D60">
    <cfRule type="cellIs" dxfId="429" priority="30" operator="equal">
      <formula>"Ready to execute"</formula>
    </cfRule>
  </conditionalFormatting>
  <conditionalFormatting sqref="D21:D22">
    <cfRule type="cellIs" dxfId="428" priority="29" operator="equal">
      <formula>"Passed"</formula>
    </cfRule>
  </conditionalFormatting>
  <conditionalFormatting sqref="D21:D22">
    <cfRule type="cellIs" dxfId="427" priority="28" operator="equal">
      <formula>"Not Start"</formula>
    </cfRule>
  </conditionalFormatting>
  <conditionalFormatting sqref="D21:D22">
    <cfRule type="cellIs" dxfId="426" priority="27" operator="equal">
      <formula>"Failed"</formula>
    </cfRule>
  </conditionalFormatting>
  <conditionalFormatting sqref="D21:D22">
    <cfRule type="cellIs" dxfId="425" priority="26" operator="equal">
      <formula>"Ready to execute"</formula>
    </cfRule>
  </conditionalFormatting>
  <conditionalFormatting sqref="D71">
    <cfRule type="cellIs" dxfId="424" priority="25" operator="equal">
      <formula>"Passed"</formula>
    </cfRule>
  </conditionalFormatting>
  <conditionalFormatting sqref="D71">
    <cfRule type="cellIs" dxfId="423" priority="24" operator="equal">
      <formula>"Not Start"</formula>
    </cfRule>
  </conditionalFormatting>
  <conditionalFormatting sqref="D71">
    <cfRule type="cellIs" dxfId="422" priority="23" operator="equal">
      <formula>"Failed"</formula>
    </cfRule>
  </conditionalFormatting>
  <conditionalFormatting sqref="D71">
    <cfRule type="cellIs" dxfId="421" priority="22" operator="equal">
      <formula>"Ready to execute"</formula>
    </cfRule>
  </conditionalFormatting>
  <conditionalFormatting sqref="D59">
    <cfRule type="cellIs" dxfId="420" priority="21" operator="equal">
      <formula>"Passed"</formula>
    </cfRule>
  </conditionalFormatting>
  <conditionalFormatting sqref="D59">
    <cfRule type="cellIs" dxfId="419" priority="20" operator="equal">
      <formula>"Not Start"</formula>
    </cfRule>
  </conditionalFormatting>
  <conditionalFormatting sqref="D59">
    <cfRule type="cellIs" dxfId="418" priority="19" operator="equal">
      <formula>"Failed"</formula>
    </cfRule>
  </conditionalFormatting>
  <conditionalFormatting sqref="D59">
    <cfRule type="cellIs" dxfId="417" priority="18" operator="equal">
      <formula>"Ready to execute"</formula>
    </cfRule>
  </conditionalFormatting>
  <conditionalFormatting sqref="D84">
    <cfRule type="cellIs" dxfId="416" priority="17" operator="equal">
      <formula>"Passed"</formula>
    </cfRule>
  </conditionalFormatting>
  <conditionalFormatting sqref="D84">
    <cfRule type="cellIs" dxfId="415" priority="16" operator="equal">
      <formula>"Not Start"</formula>
    </cfRule>
  </conditionalFormatting>
  <conditionalFormatting sqref="D84">
    <cfRule type="cellIs" dxfId="414" priority="15" operator="equal">
      <formula>"Failed"</formula>
    </cfRule>
  </conditionalFormatting>
  <conditionalFormatting sqref="D84">
    <cfRule type="cellIs" dxfId="413" priority="14" operator="equal">
      <formula>"Ready to execute"</formula>
    </cfRule>
  </conditionalFormatting>
  <conditionalFormatting sqref="D104:D105 D107:D108">
    <cfRule type="cellIs" dxfId="412" priority="13" operator="equal">
      <formula>"Passed"</formula>
    </cfRule>
  </conditionalFormatting>
  <conditionalFormatting sqref="D104:D105 D107:D108">
    <cfRule type="cellIs" dxfId="411" priority="12" operator="equal">
      <formula>"Not Start"</formula>
    </cfRule>
  </conditionalFormatting>
  <conditionalFormatting sqref="D104:D105 D107:D108">
    <cfRule type="cellIs" dxfId="410" priority="11" operator="equal">
      <formula>"Failed"</formula>
    </cfRule>
  </conditionalFormatting>
  <conditionalFormatting sqref="D104:D105 D107:D108">
    <cfRule type="cellIs" dxfId="409" priority="10" operator="equal">
      <formula>"Ready to execute"</formula>
    </cfRule>
  </conditionalFormatting>
  <conditionalFormatting sqref="D97">
    <cfRule type="cellIs" dxfId="408" priority="9" operator="equal">
      <formula>"Passed"</formula>
    </cfRule>
  </conditionalFormatting>
  <conditionalFormatting sqref="D97">
    <cfRule type="cellIs" dxfId="407" priority="8" operator="equal">
      <formula>"Not Start"</formula>
    </cfRule>
  </conditionalFormatting>
  <conditionalFormatting sqref="D97">
    <cfRule type="cellIs" dxfId="406" priority="7" operator="equal">
      <formula>"Failed"</formula>
    </cfRule>
  </conditionalFormatting>
  <conditionalFormatting sqref="D97">
    <cfRule type="cellIs" dxfId="405" priority="6" operator="equal">
      <formula>"Ready to execute"</formula>
    </cfRule>
  </conditionalFormatting>
  <conditionalFormatting sqref="D98">
    <cfRule type="cellIs" dxfId="404" priority="5" operator="equal">
      <formula>"Passed"</formula>
    </cfRule>
  </conditionalFormatting>
  <conditionalFormatting sqref="D98">
    <cfRule type="cellIs" dxfId="403" priority="4" operator="equal">
      <formula>"Not Start"</formula>
    </cfRule>
  </conditionalFormatting>
  <conditionalFormatting sqref="D98">
    <cfRule type="cellIs" dxfId="402" priority="3" operator="equal">
      <formula>"Failed"</formula>
    </cfRule>
  </conditionalFormatting>
  <conditionalFormatting sqref="D98">
    <cfRule type="cellIs" dxfId="401" priority="2" operator="equal">
      <formula>"Ready to execute"</formula>
    </cfRule>
  </conditionalFormatting>
  <conditionalFormatting sqref="I1:I1048576">
    <cfRule type="cellIs" dxfId="400" priority="1" operator="equal">
      <formula>"source (EBAN)"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ECA-16EF-4CF5-91F7-1B5ACF03512A}">
  <dimension ref="A1:M4"/>
  <sheetViews>
    <sheetView workbookViewId="0"/>
  </sheetViews>
  <sheetFormatPr defaultRowHeight="15"/>
  <cols>
    <col min="1" max="1" width="13.140625" bestFit="1" customWidth="1"/>
    <col min="2" max="2" width="46" bestFit="1" customWidth="1"/>
    <col min="3" max="3" width="23.85546875" bestFit="1" customWidth="1"/>
    <col min="4" max="4" width="12.28515625" bestFit="1" customWidth="1"/>
    <col min="5" max="5" width="9.28515625" bestFit="1" customWidth="1"/>
    <col min="6" max="6" width="11.28515625" bestFit="1" customWidth="1"/>
    <col min="7" max="7" width="13" bestFit="1" customWidth="1"/>
    <col min="8" max="8" width="10.7109375" bestFit="1" customWidth="1"/>
    <col min="9" max="9" width="24.5703125" bestFit="1" customWidth="1"/>
    <col min="10" max="10" width="9.28515625" bestFit="1" customWidth="1"/>
    <col min="11" max="12" width="9.7109375" bestFit="1" customWidth="1"/>
    <col min="13" max="13" width="9.85546875" bestFit="1" customWidth="1"/>
  </cols>
  <sheetData>
    <row r="1" spans="1:13">
      <c r="A1" s="151" t="s">
        <v>342</v>
      </c>
    </row>
    <row r="3" spans="1:13">
      <c r="A3" t="s">
        <v>43</v>
      </c>
      <c r="B3" t="s">
        <v>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</row>
    <row r="4" spans="1:13">
      <c r="A4" t="s">
        <v>77</v>
      </c>
      <c r="B4" t="s">
        <v>78</v>
      </c>
      <c r="C4" t="s">
        <v>57</v>
      </c>
      <c r="D4" t="s">
        <v>58</v>
      </c>
      <c r="F4" s="150" t="s">
        <v>79</v>
      </c>
      <c r="H4" t="s">
        <v>80</v>
      </c>
      <c r="I4" t="s">
        <v>81</v>
      </c>
      <c r="J4" t="s">
        <v>82</v>
      </c>
      <c r="K4" t="b">
        <v>0</v>
      </c>
      <c r="L4" t="b">
        <v>1</v>
      </c>
      <c r="M4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91D8-A8C3-40CD-B4B1-7A24FC525FBD}">
  <dimension ref="A1:M37"/>
  <sheetViews>
    <sheetView topLeftCell="A31" workbookViewId="0">
      <selection activeCell="A36" sqref="A36:B36"/>
    </sheetView>
  </sheetViews>
  <sheetFormatPr defaultRowHeight="15"/>
  <cols>
    <col min="1" max="1" width="13.140625" bestFit="1" customWidth="1"/>
    <col min="2" max="2" width="40.7109375" bestFit="1" customWidth="1"/>
    <col min="3" max="3" width="23.85546875" bestFit="1" customWidth="1"/>
    <col min="4" max="4" width="12.28515625" bestFit="1" customWidth="1"/>
    <col min="5" max="5" width="10.140625" bestFit="1" customWidth="1"/>
    <col min="6" max="6" width="81.85546875" bestFit="1" customWidth="1"/>
    <col min="7" max="7" width="196.85546875" bestFit="1" customWidth="1"/>
    <col min="8" max="8" width="26.7109375" bestFit="1" customWidth="1"/>
    <col min="10" max="10" width="9.28515625" bestFit="1" customWidth="1"/>
    <col min="11" max="12" width="9.7109375" bestFit="1" customWidth="1"/>
    <col min="13" max="13" width="9.85546875" bestFit="1" customWidth="1"/>
  </cols>
  <sheetData>
    <row r="1" spans="1:13" ht="101.25">
      <c r="A1" s="173" t="s">
        <v>343</v>
      </c>
    </row>
    <row r="3" spans="1:13">
      <c r="A3" t="s">
        <v>43</v>
      </c>
      <c r="B3" t="s">
        <v>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</row>
    <row r="4" spans="1:13">
      <c r="A4" t="s">
        <v>31</v>
      </c>
      <c r="B4" t="s">
        <v>42</v>
      </c>
      <c r="C4" t="s">
        <v>105</v>
      </c>
      <c r="D4" t="s">
        <v>58</v>
      </c>
      <c r="E4" s="172">
        <v>45379</v>
      </c>
      <c r="F4" s="150" t="s">
        <v>321</v>
      </c>
      <c r="G4" s="150" t="s">
        <v>322</v>
      </c>
      <c r="H4" t="s">
        <v>104</v>
      </c>
      <c r="I4" s="150" t="s">
        <v>115</v>
      </c>
      <c r="J4" t="s">
        <v>116</v>
      </c>
      <c r="K4" t="b">
        <v>0</v>
      </c>
      <c r="L4" t="b">
        <v>1</v>
      </c>
      <c r="M4" t="b">
        <v>0</v>
      </c>
    </row>
    <row r="5" spans="1:13">
      <c r="A5" t="s">
        <v>8</v>
      </c>
      <c r="B5" t="s">
        <v>256</v>
      </c>
      <c r="C5" t="s">
        <v>57</v>
      </c>
      <c r="D5" t="s">
        <v>58</v>
      </c>
      <c r="E5" s="172">
        <v>43580</v>
      </c>
      <c r="F5" s="150" t="s">
        <v>344</v>
      </c>
      <c r="H5" t="s">
        <v>154</v>
      </c>
      <c r="I5" s="150" t="s">
        <v>115</v>
      </c>
      <c r="J5" t="s">
        <v>116</v>
      </c>
      <c r="K5" t="b">
        <v>0</v>
      </c>
      <c r="L5" t="b">
        <v>1</v>
      </c>
      <c r="M5" t="b">
        <v>0</v>
      </c>
    </row>
    <row r="6" spans="1:13">
      <c r="A6" t="s">
        <v>31</v>
      </c>
      <c r="B6" t="s">
        <v>41</v>
      </c>
      <c r="C6" t="s">
        <v>105</v>
      </c>
      <c r="D6" t="s">
        <v>58</v>
      </c>
      <c r="E6" s="172">
        <v>45379</v>
      </c>
      <c r="F6" s="150" t="s">
        <v>157</v>
      </c>
      <c r="G6" t="s">
        <v>156</v>
      </c>
      <c r="H6" t="s">
        <v>104</v>
      </c>
      <c r="I6" s="150" t="s">
        <v>115</v>
      </c>
      <c r="J6" t="s">
        <v>116</v>
      </c>
      <c r="K6" t="b">
        <v>0</v>
      </c>
      <c r="L6" t="b">
        <v>1</v>
      </c>
      <c r="M6" t="b">
        <v>0</v>
      </c>
    </row>
    <row r="7" spans="1:13">
      <c r="A7" t="s">
        <v>31</v>
      </c>
      <c r="B7" t="s">
        <v>40</v>
      </c>
      <c r="C7" t="s">
        <v>105</v>
      </c>
      <c r="D7" t="s">
        <v>58</v>
      </c>
      <c r="E7" s="172">
        <v>45379</v>
      </c>
      <c r="F7" s="150" t="s">
        <v>157</v>
      </c>
      <c r="G7" t="s">
        <v>156</v>
      </c>
      <c r="H7" t="s">
        <v>104</v>
      </c>
      <c r="I7" s="150" t="s">
        <v>115</v>
      </c>
      <c r="J7" t="s">
        <v>116</v>
      </c>
      <c r="K7" t="b">
        <v>0</v>
      </c>
      <c r="L7" t="b">
        <v>1</v>
      </c>
      <c r="M7" t="b">
        <v>0</v>
      </c>
    </row>
    <row r="8" spans="1:13">
      <c r="A8" t="s">
        <v>8</v>
      </c>
      <c r="B8" t="s">
        <v>11</v>
      </c>
      <c r="C8" t="s">
        <v>105</v>
      </c>
      <c r="D8" t="s">
        <v>58</v>
      </c>
      <c r="E8" s="172">
        <v>45372</v>
      </c>
      <c r="F8" s="150" t="s">
        <v>225</v>
      </c>
      <c r="I8" s="150" t="s">
        <v>115</v>
      </c>
      <c r="J8" t="s">
        <v>116</v>
      </c>
      <c r="K8" t="b">
        <v>0</v>
      </c>
      <c r="L8" t="b">
        <v>1</v>
      </c>
      <c r="M8" t="b">
        <v>0</v>
      </c>
    </row>
    <row r="9" spans="1:13">
      <c r="A9" t="s">
        <v>83</v>
      </c>
      <c r="B9" t="s">
        <v>221</v>
      </c>
      <c r="C9" t="s">
        <v>57</v>
      </c>
      <c r="D9" t="s">
        <v>58</v>
      </c>
      <c r="F9" t="s">
        <v>222</v>
      </c>
      <c r="G9" t="s">
        <v>223</v>
      </c>
      <c r="H9" t="s">
        <v>224</v>
      </c>
      <c r="I9" s="150" t="s">
        <v>115</v>
      </c>
      <c r="J9" t="s">
        <v>116</v>
      </c>
      <c r="K9" t="b">
        <v>0</v>
      </c>
      <c r="L9" t="b">
        <v>1</v>
      </c>
      <c r="M9" t="b">
        <v>0</v>
      </c>
    </row>
    <row r="10" spans="1:13">
      <c r="A10" t="s">
        <v>31</v>
      </c>
      <c r="B10" t="s">
        <v>200</v>
      </c>
      <c r="C10" t="s">
        <v>57</v>
      </c>
      <c r="D10" t="s">
        <v>58</v>
      </c>
      <c r="E10" s="172">
        <v>45379</v>
      </c>
      <c r="F10" s="150" t="s">
        <v>201</v>
      </c>
      <c r="I10" s="150" t="s">
        <v>115</v>
      </c>
      <c r="J10" t="s">
        <v>116</v>
      </c>
      <c r="K10" t="b">
        <v>0</v>
      </c>
      <c r="L10" t="b">
        <v>1</v>
      </c>
      <c r="M10" t="b">
        <v>0</v>
      </c>
    </row>
    <row r="11" spans="1:13">
      <c r="A11" t="s">
        <v>31</v>
      </c>
      <c r="B11" t="s">
        <v>198</v>
      </c>
      <c r="C11" t="s">
        <v>57</v>
      </c>
      <c r="D11" t="s">
        <v>58</v>
      </c>
      <c r="E11" s="172">
        <v>45379</v>
      </c>
      <c r="F11" s="150" t="s">
        <v>345</v>
      </c>
      <c r="I11" s="150" t="s">
        <v>115</v>
      </c>
      <c r="J11" t="s">
        <v>116</v>
      </c>
      <c r="K11" t="b">
        <v>0</v>
      </c>
      <c r="L11" t="b">
        <v>1</v>
      </c>
      <c r="M11" t="b">
        <v>0</v>
      </c>
    </row>
    <row r="12" spans="1:13">
      <c r="A12" t="s">
        <v>189</v>
      </c>
      <c r="B12" t="s">
        <v>190</v>
      </c>
      <c r="C12" t="s">
        <v>85</v>
      </c>
      <c r="D12" t="s">
        <v>58</v>
      </c>
      <c r="E12" s="150" t="s">
        <v>191</v>
      </c>
      <c r="F12" s="150" t="s">
        <v>192</v>
      </c>
      <c r="G12" s="150" t="s">
        <v>193</v>
      </c>
      <c r="H12" t="s">
        <v>194</v>
      </c>
      <c r="I12" s="150" t="s">
        <v>115</v>
      </c>
      <c r="J12" t="s">
        <v>116</v>
      </c>
      <c r="K12" t="b">
        <v>0</v>
      </c>
      <c r="L12" t="b">
        <v>1</v>
      </c>
      <c r="M12" t="b">
        <v>0</v>
      </c>
    </row>
    <row r="13" spans="1:13">
      <c r="A13" t="s">
        <v>31</v>
      </c>
      <c r="B13" t="s">
        <v>39</v>
      </c>
      <c r="C13" t="s">
        <v>105</v>
      </c>
      <c r="D13" t="s">
        <v>58</v>
      </c>
      <c r="E13" s="172">
        <v>45379</v>
      </c>
      <c r="F13" s="150" t="s">
        <v>346</v>
      </c>
      <c r="G13" s="150" t="s">
        <v>347</v>
      </c>
      <c r="H13" t="s">
        <v>87</v>
      </c>
      <c r="I13" s="150" t="s">
        <v>115</v>
      </c>
      <c r="J13" t="s">
        <v>116</v>
      </c>
      <c r="K13" t="b">
        <v>0</v>
      </c>
      <c r="L13" t="b">
        <v>1</v>
      </c>
      <c r="M13" t="b">
        <v>0</v>
      </c>
    </row>
    <row r="14" spans="1:13">
      <c r="A14" t="s">
        <v>31</v>
      </c>
      <c r="B14" t="s">
        <v>38</v>
      </c>
      <c r="C14" t="s">
        <v>105</v>
      </c>
      <c r="D14" t="s">
        <v>58</v>
      </c>
      <c r="E14" s="172">
        <v>45379</v>
      </c>
      <c r="F14" t="s">
        <v>159</v>
      </c>
      <c r="G14" t="s">
        <v>156</v>
      </c>
      <c r="H14" t="s">
        <v>104</v>
      </c>
      <c r="I14" s="150" t="s">
        <v>115</v>
      </c>
      <c r="J14" t="s">
        <v>116</v>
      </c>
      <c r="K14" t="b">
        <v>0</v>
      </c>
      <c r="L14" t="b">
        <v>1</v>
      </c>
      <c r="M14" t="b">
        <v>0</v>
      </c>
    </row>
    <row r="15" spans="1:13">
      <c r="A15" t="s">
        <v>31</v>
      </c>
      <c r="B15" t="s">
        <v>33</v>
      </c>
      <c r="C15" t="s">
        <v>105</v>
      </c>
      <c r="D15" t="s">
        <v>58</v>
      </c>
      <c r="E15" s="172">
        <v>45379</v>
      </c>
      <c r="F15" s="150" t="s">
        <v>157</v>
      </c>
      <c r="G15" t="s">
        <v>156</v>
      </c>
      <c r="H15" t="s">
        <v>104</v>
      </c>
      <c r="I15" s="150" t="s">
        <v>115</v>
      </c>
      <c r="J15" t="s">
        <v>116</v>
      </c>
      <c r="K15" t="b">
        <v>0</v>
      </c>
      <c r="L15" t="b">
        <v>1</v>
      </c>
      <c r="M15" t="b">
        <v>0</v>
      </c>
    </row>
    <row r="16" spans="1:13">
      <c r="A16" t="s">
        <v>55</v>
      </c>
      <c r="B16" t="s">
        <v>112</v>
      </c>
      <c r="C16" t="s">
        <v>57</v>
      </c>
      <c r="D16" t="s">
        <v>58</v>
      </c>
      <c r="F16" s="150" t="s">
        <v>113</v>
      </c>
      <c r="G16" s="150" t="s">
        <v>114</v>
      </c>
      <c r="H16" t="s">
        <v>87</v>
      </c>
      <c r="I16" s="150" t="s">
        <v>115</v>
      </c>
      <c r="J16" t="s">
        <v>116</v>
      </c>
      <c r="K16" t="b">
        <v>0</v>
      </c>
      <c r="L16" t="b">
        <v>1</v>
      </c>
      <c r="M16" t="b">
        <v>0</v>
      </c>
    </row>
    <row r="17" spans="1:13">
      <c r="A17" t="s">
        <v>31</v>
      </c>
      <c r="B17" t="s">
        <v>32</v>
      </c>
      <c r="C17" t="s">
        <v>105</v>
      </c>
      <c r="D17" t="s">
        <v>58</v>
      </c>
      <c r="E17" s="172">
        <v>45379</v>
      </c>
      <c r="F17" t="s">
        <v>155</v>
      </c>
      <c r="G17" t="s">
        <v>156</v>
      </c>
      <c r="H17" t="s">
        <v>104</v>
      </c>
      <c r="I17" s="150" t="s">
        <v>115</v>
      </c>
      <c r="J17" t="s">
        <v>116</v>
      </c>
      <c r="K17" t="b">
        <v>0</v>
      </c>
      <c r="L17" t="b">
        <v>1</v>
      </c>
      <c r="M17" t="b">
        <v>0</v>
      </c>
    </row>
    <row r="18" spans="1:13">
      <c r="A18" t="s">
        <v>129</v>
      </c>
      <c r="B18" t="s">
        <v>130</v>
      </c>
      <c r="C18" t="s">
        <v>57</v>
      </c>
      <c r="D18" t="s">
        <v>58</v>
      </c>
      <c r="E18" s="172">
        <v>45351</v>
      </c>
      <c r="F18" s="150" t="s">
        <v>131</v>
      </c>
      <c r="G18" s="150" t="s">
        <v>348</v>
      </c>
      <c r="H18" t="s">
        <v>87</v>
      </c>
      <c r="I18" s="150" t="s">
        <v>115</v>
      </c>
      <c r="J18" t="s">
        <v>116</v>
      </c>
      <c r="K18" t="b">
        <v>0</v>
      </c>
      <c r="L18" t="b">
        <v>1</v>
      </c>
      <c r="M18" t="b">
        <v>0</v>
      </c>
    </row>
    <row r="22" spans="1:13" ht="45.75">
      <c r="A22" s="13" t="s">
        <v>112</v>
      </c>
      <c r="B22" t="b">
        <f>ISNUMBER(MATCH(A22,Table1[Persist Table Name],0))</f>
        <v>1</v>
      </c>
    </row>
    <row r="23" spans="1:13" ht="45.75">
      <c r="A23" s="13" t="s">
        <v>130</v>
      </c>
      <c r="B23" t="b">
        <f>ISNUMBER(MATCH(A23,Table1[Persist Table Name],0))</f>
        <v>1</v>
      </c>
    </row>
    <row r="24" spans="1:13" ht="45.75">
      <c r="A24" s="13" t="s">
        <v>32</v>
      </c>
      <c r="B24" t="b">
        <f>ISNUMBER(MATCH(A24,Table1[Persist Table Name],0))</f>
        <v>1</v>
      </c>
    </row>
    <row r="25" spans="1:13" ht="45.75">
      <c r="A25" s="13" t="s">
        <v>33</v>
      </c>
      <c r="B25" t="b">
        <f>ISNUMBER(MATCH(A25,Table1[Persist Table Name],0))</f>
        <v>1</v>
      </c>
    </row>
    <row r="26" spans="1:13" ht="45.75">
      <c r="A26" s="13" t="s">
        <v>38</v>
      </c>
      <c r="B26" t="b">
        <f>ISNUMBER(MATCH(A26,Table1[Persist Table Name],0))</f>
        <v>1</v>
      </c>
    </row>
    <row r="27" spans="1:13" ht="45.75">
      <c r="A27" s="13" t="s">
        <v>39</v>
      </c>
      <c r="B27" t="b">
        <f>ISNUMBER(MATCH(A27,Table1[Persist Table Name],0))</f>
        <v>1</v>
      </c>
    </row>
    <row r="28" spans="1:13" ht="45.75">
      <c r="A28" s="13" t="s">
        <v>190</v>
      </c>
      <c r="B28" t="b">
        <f>ISNUMBER(MATCH(A28,Table1[Persist Table Name],0))</f>
        <v>1</v>
      </c>
    </row>
    <row r="29" spans="1:13" ht="45.75">
      <c r="A29" s="13" t="s">
        <v>198</v>
      </c>
      <c r="B29" t="b">
        <f>ISNUMBER(MATCH(A29,Table1[Persist Table Name],0))</f>
        <v>1</v>
      </c>
    </row>
    <row r="30" spans="1:13" ht="45.75">
      <c r="A30" s="13" t="s">
        <v>200</v>
      </c>
      <c r="B30" t="b">
        <f>ISNUMBER(MATCH(A30,Table1[Persist Table Name],0))</f>
        <v>1</v>
      </c>
    </row>
    <row r="31" spans="1:13" ht="60.75">
      <c r="A31" s="64" t="s">
        <v>221</v>
      </c>
      <c r="B31" t="b">
        <f>ISNUMBER(MATCH(A31,Table1[Persist Table Name],0))</f>
        <v>1</v>
      </c>
    </row>
    <row r="32" spans="1:13" ht="60.75">
      <c r="A32" s="13" t="s">
        <v>11</v>
      </c>
      <c r="B32" t="b">
        <f>ISNUMBER(MATCH(A32,Table1[Persist Table Name],0))</f>
        <v>1</v>
      </c>
    </row>
    <row r="33" spans="1:2" ht="45.75">
      <c r="A33" s="50" t="s">
        <v>40</v>
      </c>
      <c r="B33" t="b">
        <f>ISNUMBER(MATCH(A33,Table1[Persist Table Name],0))</f>
        <v>1</v>
      </c>
    </row>
    <row r="34" spans="1:2" ht="45.75">
      <c r="A34" s="13" t="s">
        <v>41</v>
      </c>
      <c r="B34" t="b">
        <f>ISNUMBER(MATCH(A34,Table1[Persist Table Name],0))</f>
        <v>1</v>
      </c>
    </row>
    <row r="35" spans="1:2" ht="45.75">
      <c r="A35" s="13" t="s">
        <v>256</v>
      </c>
      <c r="B35" t="b">
        <f>ISNUMBER(MATCH(A35,Table1[Persist Table Name],0))</f>
        <v>1</v>
      </c>
    </row>
    <row r="36" spans="1:2" ht="76.5">
      <c r="A36" s="14" t="s">
        <v>278</v>
      </c>
      <c r="B36" t="b">
        <f>ISNUMBER(MATCH(A36,Table1[Persist Table Name],0))</f>
        <v>0</v>
      </c>
    </row>
    <row r="37" spans="1:2" ht="45.75">
      <c r="A37" s="13" t="s">
        <v>42</v>
      </c>
      <c r="B37" t="b">
        <f>ISNUMBER(MATCH(A37,Table1[Persist Table Name],0))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99FF-2F61-43D4-92D7-CCA1054F38FB}">
  <sheetPr>
    <tabColor rgb="FF00B050"/>
  </sheetPr>
  <dimension ref="A1:H43"/>
  <sheetViews>
    <sheetView workbookViewId="0">
      <selection activeCell="F4" sqref="F4"/>
    </sheetView>
  </sheetViews>
  <sheetFormatPr defaultRowHeight="15"/>
  <cols>
    <col min="1" max="1" width="44.28515625" style="73" customWidth="1"/>
    <col min="2" max="2" width="34.85546875" style="2" customWidth="1"/>
    <col min="3" max="3" width="26.7109375" style="2" bestFit="1" customWidth="1"/>
    <col min="4" max="4" width="9.140625" style="2"/>
    <col min="5" max="5" width="30.42578125" style="2" customWidth="1"/>
    <col min="6" max="7" width="26.7109375" style="2" bestFit="1" customWidth="1"/>
    <col min="8" max="16384" width="9.140625" style="2"/>
  </cols>
  <sheetData>
    <row r="1" spans="1:8">
      <c r="A1" s="72" t="s">
        <v>53</v>
      </c>
      <c r="B1" s="2" t="s">
        <v>349</v>
      </c>
      <c r="E1" s="25" t="s">
        <v>53</v>
      </c>
      <c r="F1" s="2" t="s">
        <v>349</v>
      </c>
    </row>
    <row r="3" spans="1:8">
      <c r="A3" s="25" t="s">
        <v>45</v>
      </c>
      <c r="B3" s="72" t="s">
        <v>49</v>
      </c>
      <c r="C3" s="2" t="s">
        <v>350</v>
      </c>
      <c r="E3" s="25" t="s">
        <v>50</v>
      </c>
      <c r="F3" s="2" t="s">
        <v>350</v>
      </c>
      <c r="G3"/>
    </row>
    <row r="4" spans="1:8">
      <c r="A4" s="2" t="s">
        <v>58</v>
      </c>
      <c r="B4" s="73" t="s">
        <v>194</v>
      </c>
      <c r="C4" s="2">
        <v>1</v>
      </c>
      <c r="E4" s="149" t="s">
        <v>115</v>
      </c>
      <c r="F4" s="2">
        <v>15</v>
      </c>
      <c r="G4"/>
      <c r="H4" s="2" t="s">
        <v>96</v>
      </c>
    </row>
    <row r="5" spans="1:8">
      <c r="A5" s="2"/>
      <c r="B5" s="73" t="s">
        <v>96</v>
      </c>
      <c r="C5" s="2">
        <v>1</v>
      </c>
      <c r="E5" s="2" t="s">
        <v>108</v>
      </c>
      <c r="F5" s="2">
        <v>2</v>
      </c>
      <c r="G5"/>
      <c r="H5" s="2" t="s">
        <v>23</v>
      </c>
    </row>
    <row r="6" spans="1:8">
      <c r="A6" s="2"/>
      <c r="B6" s="73" t="s">
        <v>224</v>
      </c>
      <c r="C6" s="2">
        <v>1</v>
      </c>
      <c r="E6" s="2" t="s">
        <v>181</v>
      </c>
      <c r="F6" s="2">
        <v>2</v>
      </c>
      <c r="G6"/>
    </row>
    <row r="7" spans="1:8">
      <c r="A7" s="2"/>
      <c r="B7" s="73" t="s">
        <v>212</v>
      </c>
      <c r="C7" s="2">
        <v>1</v>
      </c>
      <c r="E7" s="2" t="s">
        <v>162</v>
      </c>
      <c r="F7" s="2">
        <v>1</v>
      </c>
      <c r="G7"/>
    </row>
    <row r="8" spans="1:8">
      <c r="A8" s="2"/>
      <c r="B8" s="73" t="s">
        <v>60</v>
      </c>
      <c r="C8" s="2">
        <v>3</v>
      </c>
      <c r="E8" s="2" t="s">
        <v>97</v>
      </c>
      <c r="F8" s="2">
        <v>9</v>
      </c>
      <c r="G8"/>
    </row>
    <row r="9" spans="1:8">
      <c r="A9" s="2"/>
      <c r="B9" s="73" t="s">
        <v>80</v>
      </c>
      <c r="C9" s="2">
        <v>1</v>
      </c>
      <c r="E9" s="2" t="s">
        <v>69</v>
      </c>
      <c r="F9" s="2">
        <v>1</v>
      </c>
      <c r="G9" s="52" t="s">
        <v>351</v>
      </c>
      <c r="H9" s="2" t="s">
        <v>96</v>
      </c>
    </row>
    <row r="10" spans="1:8">
      <c r="A10" s="2"/>
      <c r="B10" s="73" t="s">
        <v>154</v>
      </c>
      <c r="C10" s="2">
        <v>6</v>
      </c>
      <c r="E10" s="2" t="s">
        <v>147</v>
      </c>
      <c r="F10" s="2">
        <v>3</v>
      </c>
      <c r="G10"/>
      <c r="H10" s="2" t="s">
        <v>96</v>
      </c>
    </row>
    <row r="11" spans="1:8">
      <c r="A11" s="2"/>
      <c r="B11" s="73" t="s">
        <v>104</v>
      </c>
      <c r="C11" s="2">
        <v>8</v>
      </c>
      <c r="E11" s="2" t="s">
        <v>81</v>
      </c>
      <c r="F11" s="2">
        <v>1</v>
      </c>
      <c r="G11"/>
      <c r="H11" s="2" t="s">
        <v>96</v>
      </c>
    </row>
    <row r="12" spans="1:8" ht="29.25">
      <c r="A12" s="2"/>
      <c r="B12" s="73" t="s">
        <v>75</v>
      </c>
      <c r="C12" s="2">
        <v>1</v>
      </c>
      <c r="E12" s="2" t="s">
        <v>245</v>
      </c>
      <c r="F12" s="2">
        <v>14</v>
      </c>
      <c r="G12"/>
      <c r="H12" s="2" t="s">
        <v>96</v>
      </c>
    </row>
    <row r="13" spans="1:8">
      <c r="A13" s="2"/>
      <c r="B13" s="73" t="s">
        <v>87</v>
      </c>
      <c r="C13" s="2">
        <v>13</v>
      </c>
      <c r="E13" s="2" t="s">
        <v>88</v>
      </c>
      <c r="F13" s="2">
        <v>4</v>
      </c>
      <c r="G13"/>
      <c r="H13" s="2" t="s">
        <v>96</v>
      </c>
    </row>
    <row r="14" spans="1:8" ht="29.25">
      <c r="A14" s="2"/>
      <c r="B14" s="73" t="s">
        <v>124</v>
      </c>
      <c r="C14" s="2">
        <v>1</v>
      </c>
      <c r="E14" s="2" t="s">
        <v>61</v>
      </c>
      <c r="F14" s="2">
        <v>8</v>
      </c>
      <c r="G14"/>
      <c r="H14" s="2" t="s">
        <v>96</v>
      </c>
    </row>
    <row r="15" spans="1:8">
      <c r="A15" s="2"/>
      <c r="B15" s="73" t="s">
        <v>175</v>
      </c>
      <c r="C15" s="2">
        <v>2</v>
      </c>
      <c r="E15" s="2" t="s">
        <v>180</v>
      </c>
      <c r="F15" s="2">
        <v>1</v>
      </c>
      <c r="G15"/>
    </row>
    <row r="16" spans="1:8" ht="43.5">
      <c r="A16" s="2"/>
      <c r="B16" s="73" t="s">
        <v>68</v>
      </c>
      <c r="C16" s="2">
        <v>1</v>
      </c>
      <c r="E16" s="2" t="s">
        <v>352</v>
      </c>
      <c r="F16" s="2">
        <v>3</v>
      </c>
      <c r="G16" s="52" t="s">
        <v>353</v>
      </c>
    </row>
    <row r="17" spans="1:8">
      <c r="A17" s="2"/>
      <c r="B17" s="73" t="s">
        <v>352</v>
      </c>
      <c r="C17" s="2">
        <v>3</v>
      </c>
      <c r="E17" s="2" t="s">
        <v>354</v>
      </c>
      <c r="F17" s="2">
        <v>64</v>
      </c>
      <c r="G17"/>
      <c r="H17" s="2" t="s">
        <v>96</v>
      </c>
    </row>
    <row r="18" spans="1:8">
      <c r="A18" s="2"/>
      <c r="B18" s="144" t="s">
        <v>180</v>
      </c>
      <c r="C18" s="171">
        <v>4</v>
      </c>
      <c r="E18"/>
      <c r="F18"/>
      <c r="G18"/>
      <c r="H18" s="2" t="s">
        <v>96</v>
      </c>
    </row>
    <row r="19" spans="1:8" ht="29.25">
      <c r="A19" s="2"/>
      <c r="B19" s="73" t="s">
        <v>184</v>
      </c>
      <c r="C19" s="2">
        <v>1</v>
      </c>
      <c r="E19"/>
      <c r="F19"/>
      <c r="G19"/>
      <c r="H19" s="2" t="s">
        <v>96</v>
      </c>
    </row>
    <row r="20" spans="1:8" ht="43.5">
      <c r="A20" s="2"/>
      <c r="B20" s="73" t="s">
        <v>244</v>
      </c>
      <c r="C20" s="2">
        <v>1</v>
      </c>
      <c r="E20"/>
      <c r="F20"/>
      <c r="G20"/>
    </row>
    <row r="21" spans="1:8">
      <c r="A21" s="2" t="s">
        <v>355</v>
      </c>
      <c r="C21" s="2">
        <v>49</v>
      </c>
      <c r="E21"/>
      <c r="F21"/>
      <c r="G21"/>
    </row>
    <row r="22" spans="1:8">
      <c r="A22" s="2" t="s">
        <v>118</v>
      </c>
      <c r="B22" s="73" t="s">
        <v>87</v>
      </c>
      <c r="C22" s="2">
        <v>2</v>
      </c>
      <c r="E22"/>
      <c r="F22"/>
      <c r="G22"/>
    </row>
    <row r="23" spans="1:8">
      <c r="A23" s="2"/>
      <c r="B23" s="73" t="s">
        <v>352</v>
      </c>
      <c r="C23" s="2">
        <v>1</v>
      </c>
      <c r="E23"/>
      <c r="F23"/>
      <c r="G23"/>
    </row>
    <row r="24" spans="1:8">
      <c r="A24" s="2" t="s">
        <v>356</v>
      </c>
      <c r="C24" s="2">
        <v>3</v>
      </c>
      <c r="E24"/>
      <c r="F24"/>
      <c r="G24"/>
    </row>
    <row r="25" spans="1:8">
      <c r="A25" s="2" t="s">
        <v>21</v>
      </c>
      <c r="B25" s="73" t="s">
        <v>154</v>
      </c>
      <c r="C25" s="2">
        <v>1</v>
      </c>
      <c r="E25"/>
      <c r="F25"/>
      <c r="G25"/>
    </row>
    <row r="26" spans="1:8">
      <c r="A26" s="2"/>
      <c r="B26" s="73" t="s">
        <v>104</v>
      </c>
      <c r="C26" s="2">
        <v>2</v>
      </c>
      <c r="E26"/>
      <c r="F26"/>
      <c r="G26"/>
    </row>
    <row r="27" spans="1:8">
      <c r="A27" s="2"/>
      <c r="B27" s="73" t="s">
        <v>87</v>
      </c>
      <c r="C27" s="2">
        <v>4</v>
      </c>
      <c r="E27"/>
      <c r="F27"/>
      <c r="G27"/>
    </row>
    <row r="28" spans="1:8">
      <c r="A28" s="2"/>
      <c r="B28" s="144" t="s">
        <v>180</v>
      </c>
      <c r="C28" s="171">
        <v>5</v>
      </c>
      <c r="E28"/>
      <c r="F28"/>
      <c r="G28"/>
    </row>
    <row r="29" spans="1:8">
      <c r="A29" s="2" t="s">
        <v>357</v>
      </c>
      <c r="C29" s="2">
        <v>12</v>
      </c>
      <c r="E29"/>
      <c r="F29"/>
      <c r="G29"/>
    </row>
    <row r="30" spans="1:8">
      <c r="A30" s="73" t="s">
        <v>354</v>
      </c>
      <c r="B30" s="73"/>
      <c r="C30" s="2">
        <v>64</v>
      </c>
    </row>
    <row r="31" spans="1:8">
      <c r="A31"/>
      <c r="B31"/>
      <c r="C31"/>
    </row>
    <row r="32" spans="1:8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65CE-BE6C-4BCF-B521-DF911691FBFD}">
  <sheetPr>
    <tabColor theme="9" tint="0.79998168889431442"/>
  </sheetPr>
  <dimension ref="A1:A88"/>
  <sheetViews>
    <sheetView workbookViewId="0"/>
  </sheetViews>
  <sheetFormatPr defaultRowHeight="15"/>
  <cols>
    <col min="1" max="1" width="68.7109375" customWidth="1"/>
  </cols>
  <sheetData>
    <row r="1" spans="1:1">
      <c r="A1" s="49" t="s">
        <v>14</v>
      </c>
    </row>
    <row r="2" spans="1:1">
      <c r="A2" s="49" t="s">
        <v>15</v>
      </c>
    </row>
    <row r="3" spans="1:1">
      <c r="A3" s="49" t="s">
        <v>324</v>
      </c>
    </row>
    <row r="4" spans="1:1">
      <c r="A4" s="49" t="s">
        <v>262</v>
      </c>
    </row>
    <row r="5" spans="1:1">
      <c r="A5" s="49" t="s">
        <v>280</v>
      </c>
    </row>
    <row r="6" spans="1:1">
      <c r="A6" s="49" t="s">
        <v>281</v>
      </c>
    </row>
    <row r="7" spans="1:1">
      <c r="A7" s="49" t="s">
        <v>284</v>
      </c>
    </row>
    <row r="8" spans="1:1">
      <c r="A8" s="49" t="s">
        <v>285</v>
      </c>
    </row>
    <row r="9" spans="1:1">
      <c r="A9" s="49" t="s">
        <v>286</v>
      </c>
    </row>
    <row r="10" spans="1:1">
      <c r="A10" s="49" t="s">
        <v>287</v>
      </c>
    </row>
    <row r="11" spans="1:1">
      <c r="A11" s="49" t="s">
        <v>289</v>
      </c>
    </row>
    <row r="12" spans="1:1">
      <c r="A12" s="49" t="s">
        <v>290</v>
      </c>
    </row>
    <row r="13" spans="1:1">
      <c r="A13" s="49" t="s">
        <v>109</v>
      </c>
    </row>
    <row r="14" spans="1:1">
      <c r="A14" s="49" t="s">
        <v>265</v>
      </c>
    </row>
    <row r="15" spans="1:1">
      <c r="A15" s="49" t="s">
        <v>267</v>
      </c>
    </row>
    <row r="16" spans="1:1">
      <c r="A16" s="49" t="s">
        <v>165</v>
      </c>
    </row>
    <row r="17" spans="1:1">
      <c r="A17" s="49" t="s">
        <v>306</v>
      </c>
    </row>
    <row r="18" spans="1:1">
      <c r="A18" s="49" t="s">
        <v>231</v>
      </c>
    </row>
    <row r="19" spans="1:1">
      <c r="A19" s="49" t="s">
        <v>251</v>
      </c>
    </row>
    <row r="20" spans="1:1">
      <c r="A20" s="49" t="s">
        <v>269</v>
      </c>
    </row>
    <row r="21" spans="1:1">
      <c r="A21" s="117" t="s">
        <v>237</v>
      </c>
    </row>
    <row r="22" spans="1:1">
      <c r="A22" s="117" t="s">
        <v>196</v>
      </c>
    </row>
    <row r="23" spans="1:1">
      <c r="A23" s="118" t="s">
        <v>246</v>
      </c>
    </row>
    <row r="24" spans="1:1">
      <c r="A24" s="49" t="s">
        <v>272</v>
      </c>
    </row>
    <row r="25" spans="1:1">
      <c r="A25" s="49" t="s">
        <v>275</v>
      </c>
    </row>
    <row r="26" spans="1:1">
      <c r="A26" s="117" t="s">
        <v>139</v>
      </c>
    </row>
    <row r="27" spans="1:1">
      <c r="A27" s="117" t="s">
        <v>35</v>
      </c>
    </row>
    <row r="28" spans="1:1">
      <c r="A28" s="49" t="s">
        <v>358</v>
      </c>
    </row>
    <row r="29" spans="1:1">
      <c r="A29" s="49" t="s">
        <v>359</v>
      </c>
    </row>
    <row r="30" spans="1:1">
      <c r="A30" s="49" t="s">
        <v>360</v>
      </c>
    </row>
    <row r="31" spans="1:1">
      <c r="A31" s="49" t="s">
        <v>361</v>
      </c>
    </row>
    <row r="32" spans="1:1">
      <c r="A32" s="49" t="s">
        <v>362</v>
      </c>
    </row>
    <row r="33" spans="1:1">
      <c r="A33" s="49" t="s">
        <v>363</v>
      </c>
    </row>
    <row r="34" spans="1:1">
      <c r="A34" s="49" t="s">
        <v>364</v>
      </c>
    </row>
    <row r="35" spans="1:1">
      <c r="A35" s="49" t="s">
        <v>365</v>
      </c>
    </row>
    <row r="36" spans="1:1">
      <c r="A36" s="49" t="s">
        <v>366</v>
      </c>
    </row>
    <row r="37" spans="1:1">
      <c r="A37" s="79" t="s">
        <v>367</v>
      </c>
    </row>
    <row r="38" spans="1:1">
      <c r="A38" s="49" t="s">
        <v>368</v>
      </c>
    </row>
    <row r="39" spans="1:1">
      <c r="A39" s="49" t="s">
        <v>369</v>
      </c>
    </row>
    <row r="40" spans="1:1">
      <c r="A40" s="49" t="s">
        <v>370</v>
      </c>
    </row>
    <row r="41" spans="1:1">
      <c r="A41" s="79" t="s">
        <v>371</v>
      </c>
    </row>
    <row r="42" spans="1:1">
      <c r="A42" s="49" t="s">
        <v>372</v>
      </c>
    </row>
    <row r="43" spans="1:1">
      <c r="A43" s="78" t="s">
        <v>373</v>
      </c>
    </row>
    <row r="44" spans="1:1">
      <c r="A44" s="49" t="s">
        <v>374</v>
      </c>
    </row>
    <row r="45" spans="1:1">
      <c r="A45" s="49" t="s">
        <v>375</v>
      </c>
    </row>
    <row r="46" spans="1:1">
      <c r="A46" s="79" t="s">
        <v>376</v>
      </c>
    </row>
    <row r="47" spans="1:1">
      <c r="A47" s="49" t="s">
        <v>377</v>
      </c>
    </row>
    <row r="48" spans="1:1">
      <c r="A48" s="49" t="s">
        <v>378</v>
      </c>
    </row>
    <row r="49" spans="1:1">
      <c r="A49" s="49" t="s">
        <v>379</v>
      </c>
    </row>
    <row r="50" spans="1:1">
      <c r="A50" s="49" t="s">
        <v>380</v>
      </c>
    </row>
    <row r="51" spans="1:1">
      <c r="A51" s="49" t="s">
        <v>381</v>
      </c>
    </row>
    <row r="52" spans="1:1">
      <c r="A52" s="49" t="s">
        <v>382</v>
      </c>
    </row>
    <row r="53" spans="1:1">
      <c r="A53" s="49" t="s">
        <v>383</v>
      </c>
    </row>
    <row r="54" spans="1:1">
      <c r="A54" s="49" t="s">
        <v>384</v>
      </c>
    </row>
    <row r="55" spans="1:1">
      <c r="A55" s="49" t="s">
        <v>385</v>
      </c>
    </row>
    <row r="56" spans="1:1">
      <c r="A56" s="49" t="s">
        <v>386</v>
      </c>
    </row>
    <row r="57" spans="1:1">
      <c r="A57" s="49" t="s">
        <v>387</v>
      </c>
    </row>
    <row r="58" spans="1:1">
      <c r="A58" s="49" t="s">
        <v>388</v>
      </c>
    </row>
    <row r="59" spans="1:1">
      <c r="A59" s="49" t="s">
        <v>389</v>
      </c>
    </row>
    <row r="60" spans="1:1">
      <c r="A60" s="49" t="s">
        <v>390</v>
      </c>
    </row>
    <row r="61" spans="1:1">
      <c r="A61" s="49" t="s">
        <v>391</v>
      </c>
    </row>
    <row r="62" spans="1:1">
      <c r="A62" s="49" t="s">
        <v>392</v>
      </c>
    </row>
    <row r="63" spans="1:1">
      <c r="A63" s="49" t="s">
        <v>393</v>
      </c>
    </row>
    <row r="64" spans="1:1">
      <c r="A64" s="49" t="s">
        <v>394</v>
      </c>
    </row>
    <row r="65" spans="1:1">
      <c r="A65" s="49" t="s">
        <v>395</v>
      </c>
    </row>
    <row r="66" spans="1:1">
      <c r="A66" s="49" t="s">
        <v>396</v>
      </c>
    </row>
    <row r="67" spans="1:1">
      <c r="A67" s="49" t="s">
        <v>397</v>
      </c>
    </row>
    <row r="68" spans="1:1">
      <c r="A68" s="49" t="s">
        <v>398</v>
      </c>
    </row>
    <row r="69" spans="1:1">
      <c r="A69" s="78" t="s">
        <v>399</v>
      </c>
    </row>
    <row r="70" spans="1:1">
      <c r="A70" s="49" t="s">
        <v>400</v>
      </c>
    </row>
    <row r="71" spans="1:1">
      <c r="A71" s="49" t="s">
        <v>401</v>
      </c>
    </row>
    <row r="72" spans="1:1">
      <c r="A72" s="49" t="s">
        <v>402</v>
      </c>
    </row>
    <row r="73" spans="1:1">
      <c r="A73" s="49" t="s">
        <v>403</v>
      </c>
    </row>
    <row r="74" spans="1:1">
      <c r="A74" s="49" t="s">
        <v>404</v>
      </c>
    </row>
    <row r="75" spans="1:1">
      <c r="A75" s="49" t="s">
        <v>405</v>
      </c>
    </row>
    <row r="76" spans="1:1">
      <c r="A76" s="49" t="s">
        <v>406</v>
      </c>
    </row>
    <row r="77" spans="1:1">
      <c r="A77" s="49" t="s">
        <v>407</v>
      </c>
    </row>
    <row r="78" spans="1:1">
      <c r="A78" s="49" t="s">
        <v>408</v>
      </c>
    </row>
    <row r="79" spans="1:1">
      <c r="A79" s="79" t="s">
        <v>311</v>
      </c>
    </row>
    <row r="80" spans="1:1">
      <c r="A80" s="49" t="s">
        <v>314</v>
      </c>
    </row>
    <row r="81" spans="1:1">
      <c r="A81" s="49" t="s">
        <v>255</v>
      </c>
    </row>
    <row r="82" spans="1:1">
      <c r="A82" s="49" t="s">
        <v>9</v>
      </c>
    </row>
    <row r="83" spans="1:1">
      <c r="A83" s="49" t="s">
        <v>12</v>
      </c>
    </row>
    <row r="84" spans="1:1">
      <c r="A84" s="49" t="s">
        <v>16</v>
      </c>
    </row>
    <row r="85" spans="1:1">
      <c r="A85" s="49" t="s">
        <v>19</v>
      </c>
    </row>
    <row r="86" spans="1:1">
      <c r="A86" s="49" t="s">
        <v>24</v>
      </c>
    </row>
    <row r="87" spans="1:1">
      <c r="A87" s="49" t="s">
        <v>28</v>
      </c>
    </row>
    <row r="88" spans="1:1">
      <c r="A88" s="49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E8D5-7AB0-48E9-BA5C-CE3A88E95C49}">
  <dimension ref="A1:C175"/>
  <sheetViews>
    <sheetView showGridLines="0" workbookViewId="0">
      <selection activeCell="A5" sqref="A5"/>
    </sheetView>
  </sheetViews>
  <sheetFormatPr defaultColWidth="50.5703125" defaultRowHeight="15"/>
  <cols>
    <col min="1" max="1" width="50.5703125" style="133"/>
    <col min="2" max="2" width="62.42578125" style="133" customWidth="1"/>
    <col min="3" max="16384" width="50.5703125" style="133"/>
  </cols>
  <sheetData>
    <row r="1" spans="1:2" s="13" customFormat="1">
      <c r="A1" s="134" t="s">
        <v>52</v>
      </c>
      <c r="B1" s="134" t="s">
        <v>53</v>
      </c>
    </row>
    <row r="2" spans="1:2" s="13" customFormat="1">
      <c r="A2" s="13" t="s">
        <v>262</v>
      </c>
      <c r="B2" s="13" t="s">
        <v>130</v>
      </c>
    </row>
    <row r="3" spans="1:2" s="13" customFormat="1">
      <c r="A3" s="13" t="s">
        <v>109</v>
      </c>
      <c r="B3" s="13" t="s">
        <v>226</v>
      </c>
    </row>
    <row r="4" spans="1:2" s="13" customFormat="1">
      <c r="A4" s="13" t="s">
        <v>165</v>
      </c>
      <c r="B4" s="13" t="s">
        <v>56</v>
      </c>
    </row>
    <row r="5" spans="1:2" s="13" customFormat="1">
      <c r="A5" s="13" t="s">
        <v>314</v>
      </c>
      <c r="B5" s="13" t="s">
        <v>112</v>
      </c>
    </row>
    <row r="6" spans="1:2" s="13" customFormat="1">
      <c r="A6" s="13" t="s">
        <v>231</v>
      </c>
      <c r="B6" s="13" t="s">
        <v>291</v>
      </c>
    </row>
    <row r="7" spans="1:2" s="13" customFormat="1">
      <c r="A7" s="13" t="s">
        <v>251</v>
      </c>
      <c r="B7" s="13" t="s">
        <v>293</v>
      </c>
    </row>
    <row r="8" spans="1:2" s="13" customFormat="1">
      <c r="A8" s="13" t="s">
        <v>269</v>
      </c>
      <c r="B8" s="13" t="s">
        <v>295</v>
      </c>
    </row>
    <row r="9" spans="1:2" s="13" customFormat="1">
      <c r="A9" s="13" t="s">
        <v>237</v>
      </c>
      <c r="B9" s="13" t="s">
        <v>298</v>
      </c>
    </row>
    <row r="10" spans="1:2" s="76" customFormat="1">
      <c r="A10" s="13" t="s">
        <v>126</v>
      </c>
      <c r="B10" s="13" t="s">
        <v>134</v>
      </c>
    </row>
    <row r="11" spans="1:2" s="76" customFormat="1">
      <c r="A11" s="50" t="s">
        <v>238</v>
      </c>
      <c r="B11" s="76" t="s">
        <v>300</v>
      </c>
    </row>
    <row r="12" spans="1:2" s="76" customFormat="1">
      <c r="A12" s="13" t="s">
        <v>196</v>
      </c>
      <c r="B12" s="76" t="s">
        <v>302</v>
      </c>
    </row>
    <row r="13" spans="1:2" s="13" customFormat="1">
      <c r="A13" s="13" t="s">
        <v>246</v>
      </c>
      <c r="B13" s="76" t="s">
        <v>304</v>
      </c>
    </row>
    <row r="14" spans="1:2" s="13" customFormat="1">
      <c r="A14" s="13" t="s">
        <v>139</v>
      </c>
      <c r="B14" s="13" t="s">
        <v>241</v>
      </c>
    </row>
    <row r="15" spans="1:2" s="13" customFormat="1">
      <c r="A15" s="13" t="s">
        <v>24</v>
      </c>
      <c r="B15" s="13" t="s">
        <v>307</v>
      </c>
    </row>
    <row r="16" spans="1:2" s="13" customFormat="1">
      <c r="A16" s="13" t="s">
        <v>35</v>
      </c>
      <c r="B16" s="64" t="s">
        <v>309</v>
      </c>
    </row>
    <row r="17" spans="2:2" s="13" customFormat="1">
      <c r="B17" s="13" t="s">
        <v>310</v>
      </c>
    </row>
    <row r="18" spans="2:2" s="13" customFormat="1">
      <c r="B18" s="13" t="s">
        <v>78</v>
      </c>
    </row>
    <row r="19" spans="2:2" s="13" customFormat="1">
      <c r="B19" s="13" t="s">
        <v>312</v>
      </c>
    </row>
    <row r="20" spans="2:2" s="13" customFormat="1">
      <c r="B20" s="13" t="s">
        <v>313</v>
      </c>
    </row>
    <row r="21" spans="2:2" s="76" customFormat="1">
      <c r="B21" s="13" t="s">
        <v>72</v>
      </c>
    </row>
    <row r="22" spans="2:2" s="13" customFormat="1">
      <c r="B22" s="76" t="s">
        <v>152</v>
      </c>
    </row>
    <row r="23" spans="2:2" s="13" customFormat="1">
      <c r="B23" s="13" t="s">
        <v>177</v>
      </c>
    </row>
    <row r="24" spans="2:2" s="13" customFormat="1">
      <c r="B24" s="13" t="s">
        <v>210</v>
      </c>
    </row>
    <row r="25" spans="2:2" s="13" customFormat="1">
      <c r="B25" s="13" t="s">
        <v>168</v>
      </c>
    </row>
    <row r="26" spans="2:2" s="13" customFormat="1">
      <c r="B26" s="13" t="s">
        <v>84</v>
      </c>
    </row>
    <row r="27" spans="2:2" s="13" customFormat="1">
      <c r="B27" s="13" t="s">
        <v>233</v>
      </c>
    </row>
    <row r="28" spans="2:2" s="13" customFormat="1">
      <c r="B28" s="13" t="s">
        <v>182</v>
      </c>
    </row>
    <row r="29" spans="2:2" s="13" customFormat="1">
      <c r="B29" s="13" t="s">
        <v>172</v>
      </c>
    </row>
    <row r="30" spans="2:2" s="13" customFormat="1">
      <c r="B30" s="13" t="s">
        <v>185</v>
      </c>
    </row>
    <row r="31" spans="2:2" s="76" customFormat="1">
      <c r="B31" s="13" t="s">
        <v>202</v>
      </c>
    </row>
    <row r="32" spans="2:2" s="13" customFormat="1">
      <c r="B32" s="76" t="s">
        <v>89</v>
      </c>
    </row>
    <row r="33" spans="2:2" s="13" customFormat="1">
      <c r="B33" s="13" t="s">
        <v>91</v>
      </c>
    </row>
    <row r="34" spans="2:2" s="13" customFormat="1">
      <c r="B34" s="13" t="s">
        <v>93</v>
      </c>
    </row>
    <row r="35" spans="2:2" s="13" customFormat="1">
      <c r="B35" s="13" t="s">
        <v>99</v>
      </c>
    </row>
    <row r="36" spans="2:2" s="13" customFormat="1">
      <c r="B36" s="13" t="s">
        <v>101</v>
      </c>
    </row>
    <row r="37" spans="2:2" s="13" customFormat="1">
      <c r="B37" s="13" t="s">
        <v>187</v>
      </c>
    </row>
    <row r="38" spans="2:2" s="13" customFormat="1">
      <c r="B38" s="13" t="s">
        <v>221</v>
      </c>
    </row>
    <row r="39" spans="2:2" s="13" customFormat="1">
      <c r="B39" s="13" t="s">
        <v>209</v>
      </c>
    </row>
    <row r="40" spans="2:2" s="13" customFormat="1">
      <c r="B40" s="13" t="s">
        <v>176</v>
      </c>
    </row>
    <row r="41" spans="2:2" s="13" customFormat="1">
      <c r="B41" s="13" t="s">
        <v>235</v>
      </c>
    </row>
    <row r="42" spans="2:2" s="13" customFormat="1">
      <c r="B42" s="13" t="s">
        <v>253</v>
      </c>
    </row>
    <row r="43" spans="2:2" s="13" customFormat="1">
      <c r="B43" s="13" t="s">
        <v>256</v>
      </c>
    </row>
    <row r="44" spans="2:2" s="13" customFormat="1">
      <c r="B44" s="50" t="s">
        <v>190</v>
      </c>
    </row>
    <row r="45" spans="2:2" s="13" customFormat="1">
      <c r="B45" s="13" t="s">
        <v>198</v>
      </c>
    </row>
    <row r="46" spans="2:2" s="13" customFormat="1">
      <c r="B46" s="13" t="s">
        <v>200</v>
      </c>
    </row>
    <row r="47" spans="2:2" s="13" customFormat="1">
      <c r="B47" s="50" t="s">
        <v>117</v>
      </c>
    </row>
    <row r="48" spans="2:2" s="13" customFormat="1">
      <c r="B48" s="13" t="s">
        <v>64</v>
      </c>
    </row>
    <row r="49" spans="2:2" s="13" customFormat="1">
      <c r="B49" s="13" t="s">
        <v>121</v>
      </c>
    </row>
    <row r="50" spans="2:2" s="13" customFormat="1">
      <c r="B50" s="13" t="s">
        <v>273</v>
      </c>
    </row>
    <row r="51" spans="2:2" s="13" customFormat="1">
      <c r="B51" s="13" t="s">
        <v>11</v>
      </c>
    </row>
    <row r="52" spans="2:2" s="13" customFormat="1">
      <c r="B52" s="13" t="s">
        <v>13</v>
      </c>
    </row>
    <row r="53" spans="2:2" s="13" customFormat="1">
      <c r="B53" s="13" t="s">
        <v>18</v>
      </c>
    </row>
    <row r="54" spans="2:2" s="13" customFormat="1">
      <c r="B54" s="13" t="s">
        <v>20</v>
      </c>
    </row>
    <row r="55" spans="2:2" s="13" customFormat="1">
      <c r="B55" s="13" t="s">
        <v>25</v>
      </c>
    </row>
    <row r="56" spans="2:2" s="13" customFormat="1">
      <c r="B56" s="13" t="s">
        <v>26</v>
      </c>
    </row>
    <row r="57" spans="2:2" s="13" customFormat="1">
      <c r="B57" s="64" t="s">
        <v>149</v>
      </c>
    </row>
    <row r="58" spans="2:2" s="13" customFormat="1">
      <c r="B58" s="13" t="s">
        <v>32</v>
      </c>
    </row>
    <row r="59" spans="2:2" s="13" customFormat="1">
      <c r="B59" s="13" t="s">
        <v>33</v>
      </c>
    </row>
    <row r="60" spans="2:2" s="13" customFormat="1">
      <c r="B60" s="13" t="s">
        <v>34</v>
      </c>
    </row>
    <row r="61" spans="2:2" s="13" customFormat="1">
      <c r="B61" s="13" t="s">
        <v>38</v>
      </c>
    </row>
    <row r="62" spans="2:2" s="13" customFormat="1">
      <c r="B62" s="13" t="s">
        <v>39</v>
      </c>
    </row>
    <row r="63" spans="2:2" s="13" customFormat="1">
      <c r="B63" s="13" t="s">
        <v>40</v>
      </c>
    </row>
    <row r="64" spans="2:2" s="13" customFormat="1">
      <c r="B64" s="13" t="s">
        <v>41</v>
      </c>
    </row>
    <row r="65" spans="2:2">
      <c r="B65" s="13" t="s">
        <v>42</v>
      </c>
    </row>
    <row r="112" spans="1:3">
      <c r="A112" s="13"/>
      <c r="C112" s="13"/>
    </row>
    <row r="113" spans="1:3">
      <c r="A113" s="13"/>
      <c r="C113" s="13"/>
    </row>
    <row r="114" spans="1:3">
      <c r="A114" s="13"/>
      <c r="C114" s="13"/>
    </row>
    <row r="115" spans="1:3">
      <c r="A115" s="13"/>
      <c r="C115" s="13"/>
    </row>
    <row r="116" spans="1:3">
      <c r="A116" s="13"/>
      <c r="C116" s="13"/>
    </row>
    <row r="117" spans="1:3">
      <c r="A117" s="13"/>
      <c r="C117" s="13"/>
    </row>
    <row r="118" spans="1:3">
      <c r="A118" s="13"/>
      <c r="C118" s="13"/>
    </row>
    <row r="119" spans="1:3">
      <c r="A119" s="13"/>
      <c r="C119" s="13"/>
    </row>
    <row r="120" spans="1:3">
      <c r="A120" s="13"/>
      <c r="C120" s="13"/>
    </row>
    <row r="121" spans="1:3">
      <c r="A121" s="13"/>
      <c r="C121" s="76"/>
    </row>
    <row r="122" spans="1:3">
      <c r="A122" s="13"/>
      <c r="C122" s="76"/>
    </row>
    <row r="123" spans="1:3">
      <c r="A123" s="13"/>
      <c r="C123" s="76"/>
    </row>
    <row r="124" spans="1:3">
      <c r="A124" s="13"/>
      <c r="C124" s="13"/>
    </row>
    <row r="125" spans="1:3">
      <c r="A125" s="13"/>
      <c r="C125" s="13"/>
    </row>
    <row r="126" spans="1:3">
      <c r="A126" s="13"/>
      <c r="C126" s="13"/>
    </row>
    <row r="127" spans="1:3">
      <c r="A127" s="13"/>
      <c r="C127" s="13"/>
    </row>
    <row r="128" spans="1:3">
      <c r="A128" s="13"/>
      <c r="C128" s="13"/>
    </row>
    <row r="129" spans="1:3">
      <c r="A129" s="13"/>
      <c r="C129" s="13"/>
    </row>
    <row r="130" spans="1:3">
      <c r="A130" s="13"/>
      <c r="C130" s="13"/>
    </row>
    <row r="131" spans="1:3">
      <c r="A131" s="13"/>
      <c r="C131" s="13"/>
    </row>
    <row r="132" spans="1:3">
      <c r="A132" s="13"/>
      <c r="C132" s="76"/>
    </row>
    <row r="133" spans="1:3">
      <c r="A133" s="13"/>
      <c r="C133" s="13"/>
    </row>
    <row r="134" spans="1:3">
      <c r="A134" s="13"/>
      <c r="C134" s="13"/>
    </row>
    <row r="135" spans="1:3">
      <c r="A135" s="13"/>
      <c r="C135" s="13"/>
    </row>
    <row r="136" spans="1:3">
      <c r="A136" s="13"/>
      <c r="C136" s="13"/>
    </row>
    <row r="137" spans="1:3">
      <c r="A137" s="13"/>
      <c r="C137" s="13"/>
    </row>
    <row r="138" spans="1:3">
      <c r="A138" s="13"/>
      <c r="C138" s="13"/>
    </row>
    <row r="139" spans="1:3">
      <c r="A139" s="13"/>
      <c r="C139" s="13"/>
    </row>
    <row r="140" spans="1:3">
      <c r="A140" s="13"/>
      <c r="C140" s="13"/>
    </row>
    <row r="141" spans="1:3">
      <c r="A141" s="13"/>
      <c r="C141" s="13"/>
    </row>
    <row r="142" spans="1:3">
      <c r="A142" s="13"/>
      <c r="C142" s="76"/>
    </row>
    <row r="143" spans="1:3">
      <c r="A143" s="13"/>
      <c r="C143" s="13"/>
    </row>
    <row r="144" spans="1:3">
      <c r="A144" s="13"/>
      <c r="C144" s="13"/>
    </row>
    <row r="145" spans="1:3">
      <c r="A145" s="13"/>
      <c r="C145" s="13"/>
    </row>
    <row r="146" spans="1:3">
      <c r="C146" s="13"/>
    </row>
    <row r="147" spans="1:3">
      <c r="C147" s="13"/>
    </row>
    <row r="148" spans="1:3">
      <c r="C148" s="13"/>
    </row>
    <row r="149" spans="1:3">
      <c r="C149" s="13"/>
    </row>
    <row r="150" spans="1:3">
      <c r="C150" s="13"/>
    </row>
    <row r="151" spans="1:3">
      <c r="C151" s="13"/>
    </row>
    <row r="152" spans="1:3">
      <c r="C152" s="13"/>
    </row>
    <row r="153" spans="1:3">
      <c r="C153" s="13"/>
    </row>
    <row r="154" spans="1:3">
      <c r="C154" s="13"/>
    </row>
    <row r="155" spans="1:3">
      <c r="C155" s="13"/>
    </row>
    <row r="156" spans="1:3">
      <c r="C156" s="13"/>
    </row>
    <row r="157" spans="1:3">
      <c r="C157" s="13"/>
    </row>
    <row r="158" spans="1:3">
      <c r="C158" s="13"/>
    </row>
    <row r="159" spans="1:3">
      <c r="C159" s="13"/>
    </row>
    <row r="160" spans="1:3">
      <c r="C160" s="13"/>
    </row>
    <row r="161" spans="3:3">
      <c r="C161" s="13"/>
    </row>
    <row r="162" spans="3:3">
      <c r="C162" s="13"/>
    </row>
    <row r="163" spans="3:3">
      <c r="C163" s="13"/>
    </row>
    <row r="164" spans="3:3">
      <c r="C164" s="13"/>
    </row>
    <row r="165" spans="3:3">
      <c r="C165" s="13"/>
    </row>
    <row r="166" spans="3:3">
      <c r="C166" s="13"/>
    </row>
    <row r="167" spans="3:3">
      <c r="C167" s="13"/>
    </row>
    <row r="168" spans="3:3">
      <c r="C168" s="13"/>
    </row>
    <row r="169" spans="3:3">
      <c r="C169" s="13"/>
    </row>
    <row r="170" spans="3:3">
      <c r="C170" s="13"/>
    </row>
    <row r="171" spans="3:3">
      <c r="C171" s="13"/>
    </row>
    <row r="172" spans="3:3">
      <c r="C172" s="13"/>
    </row>
    <row r="173" spans="3:3">
      <c r="C173" s="13"/>
    </row>
    <row r="174" spans="3:3">
      <c r="C174" s="13"/>
    </row>
    <row r="175" spans="3:3">
      <c r="C175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2445-EE23-4A34-B40B-E6894F24181E}">
  <dimension ref="A3:E48"/>
  <sheetViews>
    <sheetView showGridLines="0" workbookViewId="0">
      <selection activeCell="C28" sqref="C28"/>
    </sheetView>
  </sheetViews>
  <sheetFormatPr defaultRowHeight="15"/>
  <cols>
    <col min="1" max="1" width="34.85546875" style="73" customWidth="1"/>
    <col min="2" max="3" width="26.7109375" style="73" bestFit="1" customWidth="1"/>
    <col min="4" max="5" width="26.7109375" style="73" customWidth="1"/>
    <col min="6" max="16384" width="9.140625" style="73"/>
  </cols>
  <sheetData>
    <row r="3" spans="1:5">
      <c r="A3" s="72" t="s">
        <v>49</v>
      </c>
      <c r="B3" s="73" t="s">
        <v>350</v>
      </c>
      <c r="D3" s="73" t="s">
        <v>409</v>
      </c>
      <c r="E3" s="73">
        <v>179</v>
      </c>
    </row>
    <row r="4" spans="1:5">
      <c r="A4" s="73" t="s">
        <v>194</v>
      </c>
      <c r="B4" s="73">
        <v>1</v>
      </c>
      <c r="D4" s="74" t="s">
        <v>410</v>
      </c>
      <c r="E4" s="73">
        <v>52</v>
      </c>
    </row>
    <row r="5" spans="1:5">
      <c r="A5" s="73" t="s">
        <v>96</v>
      </c>
      <c r="B5" s="73">
        <v>2</v>
      </c>
      <c r="D5" s="74" t="s">
        <v>411</v>
      </c>
      <c r="E5" s="73">
        <v>117</v>
      </c>
    </row>
    <row r="6" spans="1:5">
      <c r="A6" s="73" t="s">
        <v>224</v>
      </c>
      <c r="B6" s="73">
        <v>1</v>
      </c>
      <c r="D6" s="75" t="s">
        <v>412</v>
      </c>
      <c r="E6" s="73">
        <v>68</v>
      </c>
    </row>
    <row r="7" spans="1:5">
      <c r="A7" s="73" t="s">
        <v>212</v>
      </c>
      <c r="B7" s="73">
        <v>1</v>
      </c>
      <c r="D7" s="75" t="s">
        <v>413</v>
      </c>
      <c r="E7" s="73">
        <v>25</v>
      </c>
    </row>
    <row r="8" spans="1:5">
      <c r="A8" s="73" t="s">
        <v>60</v>
      </c>
      <c r="B8" s="73">
        <v>3</v>
      </c>
    </row>
    <row r="9" spans="1:5">
      <c r="A9" s="73" t="s">
        <v>414</v>
      </c>
      <c r="B9" s="73">
        <v>1</v>
      </c>
      <c r="D9" s="74" t="s">
        <v>330</v>
      </c>
      <c r="E9" s="73">
        <v>10</v>
      </c>
    </row>
    <row r="10" spans="1:5">
      <c r="A10" s="73" t="s">
        <v>80</v>
      </c>
      <c r="B10" s="73">
        <v>1</v>
      </c>
    </row>
    <row r="11" spans="1:5">
      <c r="A11" s="73" t="s">
        <v>415</v>
      </c>
      <c r="B11" s="73">
        <v>1</v>
      </c>
      <c r="D11" s="72" t="s">
        <v>44</v>
      </c>
      <c r="E11" s="73" t="s">
        <v>105</v>
      </c>
    </row>
    <row r="12" spans="1:5">
      <c r="A12" s="73" t="s">
        <v>206</v>
      </c>
      <c r="B12" s="73">
        <v>11</v>
      </c>
    </row>
    <row r="13" spans="1:5">
      <c r="A13" s="73" t="s">
        <v>154</v>
      </c>
      <c r="B13" s="73">
        <v>13</v>
      </c>
      <c r="D13" s="72" t="s">
        <v>49</v>
      </c>
      <c r="E13" s="73" t="s">
        <v>350</v>
      </c>
    </row>
    <row r="14" spans="1:5">
      <c r="A14" s="73" t="s">
        <v>104</v>
      </c>
      <c r="B14" s="73">
        <v>12</v>
      </c>
      <c r="D14" s="73" t="s">
        <v>414</v>
      </c>
      <c r="E14" s="73">
        <v>1</v>
      </c>
    </row>
    <row r="15" spans="1:5" ht="29.25">
      <c r="A15" s="73" t="s">
        <v>75</v>
      </c>
      <c r="B15" s="73">
        <v>1</v>
      </c>
      <c r="D15" s="73" t="s">
        <v>154</v>
      </c>
      <c r="E15" s="73">
        <v>1</v>
      </c>
    </row>
    <row r="16" spans="1:5">
      <c r="A16" s="73" t="s">
        <v>87</v>
      </c>
      <c r="B16" s="73">
        <v>24</v>
      </c>
      <c r="D16" s="73" t="s">
        <v>104</v>
      </c>
      <c r="E16" s="73">
        <v>8</v>
      </c>
    </row>
    <row r="17" spans="1:5" ht="29.25">
      <c r="A17" s="73" t="s">
        <v>124</v>
      </c>
      <c r="B17" s="73">
        <v>1</v>
      </c>
      <c r="D17" s="73" t="s">
        <v>87</v>
      </c>
      <c r="E17" s="73">
        <v>8</v>
      </c>
    </row>
    <row r="18" spans="1:5" ht="43.5">
      <c r="A18" s="73" t="s">
        <v>416</v>
      </c>
      <c r="B18" s="73">
        <v>1</v>
      </c>
      <c r="D18" s="73" t="s">
        <v>417</v>
      </c>
      <c r="E18" s="73">
        <v>7</v>
      </c>
    </row>
    <row r="19" spans="1:5">
      <c r="A19" s="73" t="s">
        <v>175</v>
      </c>
      <c r="B19" s="73">
        <v>2</v>
      </c>
      <c r="D19" s="73" t="s">
        <v>354</v>
      </c>
      <c r="E19" s="73">
        <v>25</v>
      </c>
    </row>
    <row r="20" spans="1:5" ht="43.5">
      <c r="A20" s="73" t="s">
        <v>68</v>
      </c>
      <c r="B20" s="73">
        <v>1</v>
      </c>
      <c r="D20"/>
      <c r="E20"/>
    </row>
    <row r="21" spans="1:5">
      <c r="A21" s="73" t="s">
        <v>417</v>
      </c>
      <c r="B21" s="73">
        <v>7</v>
      </c>
      <c r="D21"/>
      <c r="E21"/>
    </row>
    <row r="22" spans="1:5">
      <c r="A22" s="73" t="s">
        <v>54</v>
      </c>
      <c r="B22" s="73">
        <v>1</v>
      </c>
      <c r="D22"/>
      <c r="E22"/>
    </row>
    <row r="23" spans="1:5">
      <c r="A23" s="73" t="s">
        <v>418</v>
      </c>
      <c r="B23" s="73">
        <v>9</v>
      </c>
      <c r="D23"/>
      <c r="E23"/>
    </row>
    <row r="24" spans="1:5" ht="29.25">
      <c r="A24" s="73" t="s">
        <v>419</v>
      </c>
      <c r="B24" s="73">
        <v>1</v>
      </c>
      <c r="D24"/>
      <c r="E24"/>
    </row>
    <row r="25" spans="1:5">
      <c r="A25" s="73" t="s">
        <v>352</v>
      </c>
      <c r="B25" s="73">
        <v>20</v>
      </c>
      <c r="D25"/>
      <c r="E25"/>
    </row>
    <row r="26" spans="1:5">
      <c r="A26" s="73" t="s">
        <v>354</v>
      </c>
      <c r="B26" s="73">
        <v>115</v>
      </c>
      <c r="D26"/>
      <c r="E26"/>
    </row>
    <row r="27" spans="1:5">
      <c r="D27"/>
      <c r="E27"/>
    </row>
    <row r="28" spans="1:5">
      <c r="D28"/>
      <c r="E28"/>
    </row>
    <row r="29" spans="1:5">
      <c r="D29"/>
      <c r="E29"/>
    </row>
    <row r="30" spans="1:5">
      <c r="A30" s="72" t="s">
        <v>51</v>
      </c>
      <c r="B30" s="73" t="s">
        <v>350</v>
      </c>
      <c r="D30"/>
      <c r="E30"/>
    </row>
    <row r="31" spans="1:5">
      <c r="A31" s="73" t="s">
        <v>420</v>
      </c>
      <c r="B31" s="73">
        <v>10</v>
      </c>
      <c r="D31"/>
      <c r="E31"/>
    </row>
    <row r="32" spans="1:5">
      <c r="A32" s="73" t="s">
        <v>82</v>
      </c>
      <c r="B32" s="73">
        <v>1</v>
      </c>
      <c r="D32"/>
      <c r="E32"/>
    </row>
    <row r="33" spans="1:5">
      <c r="A33" s="73" t="s">
        <v>76</v>
      </c>
      <c r="B33" s="73">
        <v>16</v>
      </c>
      <c r="D33"/>
      <c r="E33"/>
    </row>
    <row r="34" spans="1:5">
      <c r="A34" s="73" t="s">
        <v>148</v>
      </c>
      <c r="B34" s="73">
        <v>3</v>
      </c>
    </row>
    <row r="35" spans="1:5">
      <c r="A35" s="73" t="s">
        <v>62</v>
      </c>
      <c r="B35" s="73">
        <v>9</v>
      </c>
    </row>
    <row r="36" spans="1:5">
      <c r="A36" s="73" t="s">
        <v>116</v>
      </c>
      <c r="B36" s="73">
        <v>7</v>
      </c>
    </row>
    <row r="37" spans="1:5">
      <c r="A37" s="73" t="s">
        <v>352</v>
      </c>
      <c r="B37" s="73">
        <v>66</v>
      </c>
    </row>
    <row r="38" spans="1:5" ht="29.25">
      <c r="A38" s="73" t="s">
        <v>98</v>
      </c>
      <c r="B38" s="73">
        <v>3</v>
      </c>
    </row>
    <row r="39" spans="1:5">
      <c r="A39" s="73" t="s">
        <v>354</v>
      </c>
      <c r="B39" s="73">
        <v>115</v>
      </c>
    </row>
    <row r="40" spans="1:5">
      <c r="A40"/>
      <c r="B40"/>
    </row>
    <row r="41" spans="1:5">
      <c r="A41"/>
      <c r="B41"/>
    </row>
    <row r="42" spans="1:5">
      <c r="A42"/>
      <c r="B42"/>
    </row>
    <row r="43" spans="1:5">
      <c r="A43"/>
      <c r="B43"/>
    </row>
    <row r="44" spans="1:5">
      <c r="A44"/>
      <c r="B44"/>
    </row>
    <row r="45" spans="1:5">
      <c r="A45"/>
      <c r="B45"/>
    </row>
    <row r="46" spans="1:5">
      <c r="A46"/>
      <c r="B46"/>
    </row>
    <row r="47" spans="1:5">
      <c r="A47"/>
      <c r="B47"/>
    </row>
    <row r="48" spans="1:5">
      <c r="A48"/>
      <c r="B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D82A-999A-4E00-89F2-D92DC7776656}">
  <dimension ref="A1:F24"/>
  <sheetViews>
    <sheetView showGridLines="0" workbookViewId="0">
      <pane ySplit="1" topLeftCell="A2" activePane="bottomLeft" state="frozen"/>
      <selection pane="bottomLeft" activeCell="A20" sqref="A20"/>
    </sheetView>
  </sheetViews>
  <sheetFormatPr defaultRowHeight="15"/>
  <cols>
    <col min="1" max="1" width="18.85546875" customWidth="1"/>
    <col min="2" max="2" width="54.42578125" customWidth="1"/>
    <col min="3" max="3" width="56.7109375" customWidth="1"/>
    <col min="4" max="4" width="35.7109375" hidden="1" customWidth="1"/>
    <col min="5" max="5" width="18.140625" customWidth="1"/>
  </cols>
  <sheetData>
    <row r="1" spans="1:6">
      <c r="A1" s="21" t="s">
        <v>2</v>
      </c>
      <c r="B1" s="21" t="s">
        <v>3</v>
      </c>
      <c r="C1" s="44" t="s">
        <v>421</v>
      </c>
      <c r="D1" s="21" t="s">
        <v>44</v>
      </c>
      <c r="E1" s="43" t="s">
        <v>422</v>
      </c>
    </row>
    <row r="2" spans="1:6">
      <c r="A2" s="14" t="s">
        <v>129</v>
      </c>
      <c r="B2" s="14" t="s">
        <v>284</v>
      </c>
      <c r="C2" s="45" t="str">
        <f>VLOOKUP(B2,Sheet1!B:C,2,FALSE)</f>
        <v>Report_Limit_Ctp_Funded_ForInt_YYYYMMDD.txt</v>
      </c>
      <c r="D2" s="14" t="s">
        <v>57</v>
      </c>
      <c r="E2" s="48" t="s">
        <v>423</v>
      </c>
    </row>
    <row r="3" spans="1:6">
      <c r="A3" s="46" t="s">
        <v>129</v>
      </c>
      <c r="B3" s="46" t="s">
        <v>285</v>
      </c>
      <c r="C3" s="45" t="str">
        <f>VLOOKUP(B3,Sheet1!B:C,2,FALSE)</f>
        <v>Report_Limit_PSE_ForInt_YYYYMMDD.txt</v>
      </c>
      <c r="D3" s="14" t="s">
        <v>57</v>
      </c>
      <c r="E3" s="48" t="s">
        <v>423</v>
      </c>
    </row>
    <row r="4" spans="1:6">
      <c r="A4" s="14" t="s">
        <v>129</v>
      </c>
      <c r="B4" s="14" t="s">
        <v>286</v>
      </c>
      <c r="C4" s="45" t="str">
        <f>VLOOKUP(B4,Sheet1!B:C,2,FALSE)</f>
        <v>Report_Limit_SE_ForInt_YYYYMMDD.txt</v>
      </c>
      <c r="D4" s="14" t="s">
        <v>57</v>
      </c>
      <c r="E4" s="48" t="s">
        <v>423</v>
      </c>
    </row>
    <row r="5" spans="1:6">
      <c r="A5" s="46" t="s">
        <v>129</v>
      </c>
      <c r="B5" s="46" t="s">
        <v>287</v>
      </c>
      <c r="C5" s="55" t="str">
        <f>VLOOKUP(B5,Sheet1!B:C,2,FALSE)</f>
        <v>Reset_LP_Ctp_Funded_ForInt_YYYYMMDD.txt</v>
      </c>
      <c r="D5" s="46" t="s">
        <v>57</v>
      </c>
      <c r="E5" s="56" t="s">
        <v>423</v>
      </c>
    </row>
    <row r="6" spans="1:6">
      <c r="A6" s="14" t="s">
        <v>129</v>
      </c>
      <c r="B6" s="14" t="s">
        <v>289</v>
      </c>
      <c r="C6" s="14" t="str">
        <f>VLOOKUP(B6,Sheet1!B:C,2,FALSE)</f>
        <v>Reset_MPLCDE_ForInt_YYYYMMDD.txt</v>
      </c>
      <c r="D6" s="14" t="s">
        <v>57</v>
      </c>
      <c r="E6" s="48" t="s">
        <v>423</v>
      </c>
    </row>
    <row r="7" spans="1:6">
      <c r="A7" s="14" t="s">
        <v>133</v>
      </c>
      <c r="B7" s="14" t="s">
        <v>291</v>
      </c>
      <c r="C7" s="14" t="str">
        <f>VLOOKUP(B7,Sheet1!B:C,2,FALSE)</f>
        <v>src_pf_ar_sa_dly_yyyymmdd.txt</v>
      </c>
      <c r="D7" s="14" t="s">
        <v>57</v>
      </c>
      <c r="E7" s="48" t="s">
        <v>424</v>
      </c>
      <c r="F7" t="s">
        <v>423</v>
      </c>
    </row>
    <row r="8" spans="1:6">
      <c r="A8" s="14" t="s">
        <v>133</v>
      </c>
      <c r="B8" s="14" t="s">
        <v>293</v>
      </c>
      <c r="C8" s="14" t="str">
        <f>VLOOKUP(B8,Sheet1!B:C,2,FALSE)</f>
        <v>src_pf_ar_ca_dly_yyyymmdd.txt</v>
      </c>
      <c r="D8" s="14" t="s">
        <v>57</v>
      </c>
      <c r="E8" s="48" t="s">
        <v>424</v>
      </c>
    </row>
    <row r="9" spans="1:6">
      <c r="A9" s="14" t="s">
        <v>133</v>
      </c>
      <c r="B9" s="14" t="s">
        <v>295</v>
      </c>
      <c r="C9" s="14" t="str">
        <f>VLOOKUP(B9,Sheet1!B:C,2,FALSE)</f>
        <v>src_pf_ar_fx_dly_yyyymmdd.txt</v>
      </c>
      <c r="D9" s="14" t="s">
        <v>57</v>
      </c>
      <c r="E9" s="48" t="s">
        <v>424</v>
      </c>
    </row>
    <row r="10" spans="1:6">
      <c r="A10" s="14" t="s">
        <v>133</v>
      </c>
      <c r="B10" s="14" t="s">
        <v>298</v>
      </c>
      <c r="C10" s="14" t="str">
        <f>VLOOKUP(B10,Sheet1!B:C,2,FALSE)</f>
        <v>src_pf_ar_sf_dly_yyyymmdd.txt</v>
      </c>
      <c r="D10" s="14" t="s">
        <v>57</v>
      </c>
      <c r="E10" s="48" t="s">
        <v>424</v>
      </c>
    </row>
    <row r="11" spans="1:6">
      <c r="A11" s="14" t="s">
        <v>133</v>
      </c>
      <c r="B11" s="14" t="s">
        <v>300</v>
      </c>
      <c r="C11" s="14" t="str">
        <f>VLOOKUP(B11,Sheet1!B:C,2,FALSE)</f>
        <v>src_pf_txn_mis_eft_dly_yyyymmdd.txt</v>
      </c>
      <c r="D11" s="14" t="s">
        <v>57</v>
      </c>
      <c r="E11" s="48" t="s">
        <v>424</v>
      </c>
    </row>
    <row r="12" spans="1:6">
      <c r="A12" s="14" t="s">
        <v>133</v>
      </c>
      <c r="B12" s="14" t="s">
        <v>302</v>
      </c>
      <c r="C12" s="14" t="str">
        <f>VLOOKUP(B12,Sheet1!B:C,2,FALSE)</f>
        <v>cls500029_yyyymmdd.txt</v>
      </c>
      <c r="D12" s="14" t="s">
        <v>57</v>
      </c>
      <c r="E12" s="48" t="s">
        <v>424</v>
      </c>
    </row>
    <row r="13" spans="1:6">
      <c r="A13" s="14" t="s">
        <v>133</v>
      </c>
      <c r="B13" s="14" t="s">
        <v>304</v>
      </c>
      <c r="C13" s="14" t="str">
        <f>VLOOKUP(B13,Sheet1!B:C,2,FALSE)</f>
        <v>SRC_PF_AR_CA_CR_INF_DLY_yyyymmdd.txt</v>
      </c>
      <c r="D13" s="14" t="s">
        <v>166</v>
      </c>
      <c r="E13" s="48" t="s">
        <v>424</v>
      </c>
    </row>
    <row r="14" spans="1:6">
      <c r="A14" s="14" t="s">
        <v>77</v>
      </c>
      <c r="B14" s="14" t="s">
        <v>309</v>
      </c>
      <c r="C14" s="14" t="str">
        <f>VLOOKUP(B14,Sheet1!B:C,2,FALSE)</f>
        <v>Common_Market_Code_YYYYMMDD.txt</v>
      </c>
      <c r="D14" s="14" t="s">
        <v>57</v>
      </c>
      <c r="E14" s="48" t="s">
        <v>424</v>
      </c>
    </row>
    <row r="15" spans="1:6">
      <c r="A15" s="14" t="s">
        <v>77</v>
      </c>
      <c r="B15" s="14" t="s">
        <v>312</v>
      </c>
      <c r="C15" s="14" t="str">
        <f>VLOOKUP(B15,Sheet1!B:C,2,FALSE)</f>
        <v>Common_Sub_Type.txt</v>
      </c>
      <c r="D15" s="14" t="s">
        <v>57</v>
      </c>
      <c r="E15" s="48" t="s">
        <v>424</v>
      </c>
    </row>
    <row r="16" spans="1:6">
      <c r="A16" s="14" t="s">
        <v>77</v>
      </c>
      <c r="B16" s="14" t="s">
        <v>313</v>
      </c>
      <c r="C16" s="14" t="str">
        <f>VLOOKUP(B16,Sheet1!B:C,2,FALSE)</f>
        <v>Common_Loan_Purpose_Table_yyyymmdd.txt</v>
      </c>
      <c r="D16" s="14" t="s">
        <v>57</v>
      </c>
      <c r="E16" s="48" t="s">
        <v>424</v>
      </c>
    </row>
    <row r="17" spans="1:5">
      <c r="A17" s="14" t="s">
        <v>77</v>
      </c>
      <c r="B17" s="14" t="s">
        <v>310</v>
      </c>
      <c r="C17" s="14"/>
      <c r="D17" s="14"/>
      <c r="E17" s="48" t="s">
        <v>424</v>
      </c>
    </row>
    <row r="18" spans="1:5">
      <c r="A18" s="14" t="s">
        <v>250</v>
      </c>
      <c r="B18" s="14" t="s">
        <v>251</v>
      </c>
      <c r="C18" s="14" t="str">
        <f>VLOOKUP(B18,Sheet1!B:C,2,FALSE)</f>
        <v>CPACP.DIH.CI1D1166.CRDHD.Dddmmyy.TXT</v>
      </c>
      <c r="D18" s="14" t="s">
        <v>85</v>
      </c>
      <c r="E18" s="48" t="s">
        <v>425</v>
      </c>
    </row>
    <row r="19" spans="1:5">
      <c r="A19" s="14" t="s">
        <v>250</v>
      </c>
      <c r="B19" s="14" t="s">
        <v>253</v>
      </c>
      <c r="C19" s="14" t="str">
        <f>VLOOKUP(B19,Sheet1!B:C,2,FALSE)</f>
        <v>CPACP.DIH.CI1D1178.CRDREG.Dddmmyy.TXT</v>
      </c>
      <c r="D19" s="14" t="s">
        <v>57</v>
      </c>
      <c r="E19" s="48" t="s">
        <v>425</v>
      </c>
    </row>
    <row r="20" spans="1:5">
      <c r="A20" s="1" t="s">
        <v>261</v>
      </c>
      <c r="B20" s="13" t="s">
        <v>262</v>
      </c>
      <c r="C20" s="14" t="str">
        <f>VLOOKUP(B20,Sheet1!B:C,2,FALSE)</f>
        <v>FCD_AR_YYYYMMDD.txt</v>
      </c>
      <c r="D20" s="13" t="s">
        <v>57</v>
      </c>
      <c r="E20" s="48" t="s">
        <v>424</v>
      </c>
    </row>
    <row r="21" spans="1:5">
      <c r="A21" s="49" t="s">
        <v>83</v>
      </c>
      <c r="B21" s="49" t="s">
        <v>177</v>
      </c>
      <c r="C21" s="14" t="str">
        <f>VLOOKUP(B21,Sheet1!B:C,2,FALSE)</f>
        <v>CPACP.DIH.KB1DH013.EPTRANS.Dddmmyy.txt</v>
      </c>
      <c r="D21" s="1"/>
      <c r="E21" s="1"/>
    </row>
    <row r="22" spans="1:5">
      <c r="A22" s="49" t="s">
        <v>83</v>
      </c>
      <c r="B22" s="49" t="s">
        <v>182</v>
      </c>
      <c r="C22" s="14" t="str">
        <f>VLOOKUP(B22,Sheet1!B:C,2,FALSE)</f>
        <v>CPACP.DIH.KB1DH017.CPAMT.Dddmmyy.TXT</v>
      </c>
      <c r="D22" s="1"/>
      <c r="E22" s="1"/>
    </row>
    <row r="23" spans="1:5">
      <c r="A23" s="49" t="s">
        <v>83</v>
      </c>
      <c r="B23" s="49" t="s">
        <v>185</v>
      </c>
      <c r="C23" s="14" t="str">
        <f>VLOOKUP(B23,Sheet1!B:C,2,FALSE)</f>
        <v>CPACP.DIH.KB1DH018.CPSRPTT.Dddmmyy.TXT</v>
      </c>
      <c r="D23" s="1"/>
      <c r="E23" s="1"/>
    </row>
    <row r="24" spans="1:5">
      <c r="A24" s="49" t="s">
        <v>83</v>
      </c>
      <c r="B24" s="49" t="s">
        <v>187</v>
      </c>
      <c r="C24" s="14" t="str">
        <f>VLOOKUP(B24,Sheet1!B:C,2,FALSE)</f>
        <v>CPACP.DIH.KB1DH014.CC1DMPGL.Dddmmyy</v>
      </c>
      <c r="D24" s="1"/>
      <c r="E24" s="1"/>
    </row>
  </sheetData>
  <autoFilter ref="A1:F1" xr:uid="{1159D82A-999A-4E00-89F2-D92DC7776656}"/>
  <conditionalFormatting sqref="B1:B1048576">
    <cfRule type="duplicateValues" dxfId="395" priority="1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D202-8337-4BA3-8F39-1A96F7106B7D}">
  <dimension ref="A1:C167"/>
  <sheetViews>
    <sheetView showGridLines="0" workbookViewId="0">
      <selection activeCell="B16" sqref="B16"/>
    </sheetView>
  </sheetViews>
  <sheetFormatPr defaultColWidth="32" defaultRowHeight="15"/>
  <cols>
    <col min="1" max="1" width="41" customWidth="1"/>
    <col min="2" max="2" width="63.85546875" customWidth="1"/>
    <col min="3" max="3" width="66" customWidth="1"/>
  </cols>
  <sheetData>
    <row r="1" spans="1:3">
      <c r="A1" s="29" t="s">
        <v>2</v>
      </c>
      <c r="B1" s="29" t="s">
        <v>3</v>
      </c>
      <c r="C1" s="29" t="s">
        <v>426</v>
      </c>
    </row>
    <row r="2" spans="1:3">
      <c r="A2" s="30" t="s">
        <v>427</v>
      </c>
      <c r="B2" s="30" t="s">
        <v>358</v>
      </c>
      <c r="C2" s="31" t="s">
        <v>428</v>
      </c>
    </row>
    <row r="3" spans="1:3">
      <c r="A3" s="30" t="s">
        <v>427</v>
      </c>
      <c r="B3" s="30" t="s">
        <v>359</v>
      </c>
      <c r="C3" s="31" t="s">
        <v>429</v>
      </c>
    </row>
    <row r="4" spans="1:3">
      <c r="A4" s="30" t="s">
        <v>427</v>
      </c>
      <c r="B4" s="30" t="s">
        <v>360</v>
      </c>
      <c r="C4" s="32" t="s">
        <v>430</v>
      </c>
    </row>
    <row r="5" spans="1:3">
      <c r="A5" s="30" t="s">
        <v>427</v>
      </c>
      <c r="B5" s="30" t="s">
        <v>361</v>
      </c>
      <c r="C5" s="31" t="s">
        <v>431</v>
      </c>
    </row>
    <row r="6" spans="1:3">
      <c r="A6" s="30" t="s">
        <v>427</v>
      </c>
      <c r="B6" s="30" t="s">
        <v>362</v>
      </c>
      <c r="C6" s="31" t="s">
        <v>432</v>
      </c>
    </row>
    <row r="7" spans="1:3">
      <c r="A7" s="30" t="s">
        <v>427</v>
      </c>
      <c r="B7" s="30" t="s">
        <v>363</v>
      </c>
      <c r="C7" s="31" t="s">
        <v>433</v>
      </c>
    </row>
    <row r="8" spans="1:3">
      <c r="A8" s="30" t="s">
        <v>427</v>
      </c>
      <c r="B8" s="30" t="s">
        <v>364</v>
      </c>
      <c r="C8" s="31" t="s">
        <v>434</v>
      </c>
    </row>
    <row r="9" spans="1:3">
      <c r="A9" s="30" t="s">
        <v>427</v>
      </c>
      <c r="B9" s="30" t="s">
        <v>365</v>
      </c>
      <c r="C9" s="31" t="s">
        <v>435</v>
      </c>
    </row>
    <row r="10" spans="1:3">
      <c r="A10" s="30" t="s">
        <v>427</v>
      </c>
      <c r="B10" s="30" t="s">
        <v>366</v>
      </c>
      <c r="C10" s="31" t="s">
        <v>436</v>
      </c>
    </row>
    <row r="11" spans="1:3">
      <c r="A11" s="30" t="s">
        <v>427</v>
      </c>
      <c r="B11" s="30" t="s">
        <v>367</v>
      </c>
      <c r="C11" s="31" t="s">
        <v>437</v>
      </c>
    </row>
    <row r="12" spans="1:3">
      <c r="A12" s="30" t="s">
        <v>427</v>
      </c>
      <c r="B12" s="30" t="s">
        <v>368</v>
      </c>
      <c r="C12" s="31" t="s">
        <v>438</v>
      </c>
    </row>
    <row r="13" spans="1:3">
      <c r="A13" s="30" t="s">
        <v>427</v>
      </c>
      <c r="B13" s="30" t="s">
        <v>369</v>
      </c>
      <c r="C13" s="31" t="s">
        <v>439</v>
      </c>
    </row>
    <row r="14" spans="1:3">
      <c r="A14" s="30" t="s">
        <v>427</v>
      </c>
      <c r="B14" s="30" t="s">
        <v>370</v>
      </c>
      <c r="C14" s="31" t="s">
        <v>440</v>
      </c>
    </row>
    <row r="15" spans="1:3">
      <c r="A15" s="30" t="s">
        <v>427</v>
      </c>
      <c r="B15" s="30" t="s">
        <v>371</v>
      </c>
      <c r="C15" s="33" t="s">
        <v>441</v>
      </c>
    </row>
    <row r="16" spans="1:3">
      <c r="A16" s="30" t="s">
        <v>427</v>
      </c>
      <c r="B16" s="30" t="s">
        <v>372</v>
      </c>
      <c r="C16" s="31" t="s">
        <v>442</v>
      </c>
    </row>
    <row r="17" spans="1:3">
      <c r="A17" s="30" t="s">
        <v>427</v>
      </c>
      <c r="B17" s="30" t="s">
        <v>373</v>
      </c>
      <c r="C17" s="31" t="s">
        <v>443</v>
      </c>
    </row>
    <row r="18" spans="1:3">
      <c r="A18" s="30" t="s">
        <v>427</v>
      </c>
      <c r="B18" s="30" t="s">
        <v>374</v>
      </c>
      <c r="C18" s="31" t="s">
        <v>444</v>
      </c>
    </row>
    <row r="19" spans="1:3">
      <c r="A19" s="30" t="s">
        <v>445</v>
      </c>
      <c r="B19" s="30" t="s">
        <v>375</v>
      </c>
      <c r="C19" s="31" t="s">
        <v>446</v>
      </c>
    </row>
    <row r="20" spans="1:3">
      <c r="A20" s="30" t="s">
        <v>445</v>
      </c>
      <c r="B20" s="30" t="s">
        <v>376</v>
      </c>
      <c r="C20" s="31" t="s">
        <v>447</v>
      </c>
    </row>
    <row r="21" spans="1:3">
      <c r="A21" s="30" t="s">
        <v>445</v>
      </c>
      <c r="B21" s="30" t="s">
        <v>377</v>
      </c>
      <c r="C21" s="31" t="s">
        <v>448</v>
      </c>
    </row>
    <row r="22" spans="1:3">
      <c r="A22" s="30" t="s">
        <v>445</v>
      </c>
      <c r="B22" s="30" t="s">
        <v>378</v>
      </c>
      <c r="C22" s="31" t="s">
        <v>449</v>
      </c>
    </row>
    <row r="23" spans="1:3">
      <c r="A23" s="30" t="s">
        <v>445</v>
      </c>
      <c r="B23" s="30" t="s">
        <v>379</v>
      </c>
      <c r="C23" s="31" t="s">
        <v>450</v>
      </c>
    </row>
    <row r="24" spans="1:3">
      <c r="A24" s="30" t="s">
        <v>445</v>
      </c>
      <c r="B24" s="30" t="s">
        <v>380</v>
      </c>
      <c r="C24" s="31" t="s">
        <v>451</v>
      </c>
    </row>
    <row r="25" spans="1:3">
      <c r="A25" s="30" t="s">
        <v>445</v>
      </c>
      <c r="B25" s="30" t="s">
        <v>381</v>
      </c>
      <c r="C25" s="31" t="s">
        <v>452</v>
      </c>
    </row>
    <row r="26" spans="1:3">
      <c r="A26" s="30" t="s">
        <v>445</v>
      </c>
      <c r="B26" s="30" t="s">
        <v>382</v>
      </c>
      <c r="C26" s="31" t="s">
        <v>453</v>
      </c>
    </row>
    <row r="27" spans="1:3">
      <c r="A27" s="30" t="s">
        <v>445</v>
      </c>
      <c r="B27" s="30" t="s">
        <v>383</v>
      </c>
      <c r="C27" s="31" t="s">
        <v>454</v>
      </c>
    </row>
    <row r="28" spans="1:3">
      <c r="A28" s="30" t="s">
        <v>445</v>
      </c>
      <c r="B28" s="30" t="s">
        <v>384</v>
      </c>
      <c r="C28" s="31" t="s">
        <v>455</v>
      </c>
    </row>
    <row r="29" spans="1:3">
      <c r="A29" s="30" t="s">
        <v>445</v>
      </c>
      <c r="B29" s="30" t="s">
        <v>385</v>
      </c>
      <c r="C29" s="32" t="s">
        <v>456</v>
      </c>
    </row>
    <row r="30" spans="1:3">
      <c r="A30" s="30" t="s">
        <v>445</v>
      </c>
      <c r="B30" s="30" t="s">
        <v>386</v>
      </c>
      <c r="C30" s="32" t="s">
        <v>457</v>
      </c>
    </row>
    <row r="31" spans="1:3">
      <c r="A31" s="30" t="s">
        <v>445</v>
      </c>
      <c r="B31" s="30" t="s">
        <v>387</v>
      </c>
      <c r="C31" s="32" t="s">
        <v>458</v>
      </c>
    </row>
    <row r="32" spans="1:3">
      <c r="A32" s="30" t="s">
        <v>445</v>
      </c>
      <c r="B32" s="30" t="s">
        <v>388</v>
      </c>
      <c r="C32" s="32" t="s">
        <v>459</v>
      </c>
    </row>
    <row r="33" spans="1:3">
      <c r="A33" s="30" t="s">
        <v>445</v>
      </c>
      <c r="B33" s="30" t="s">
        <v>389</v>
      </c>
      <c r="C33" s="32" t="s">
        <v>460</v>
      </c>
    </row>
    <row r="34" spans="1:3">
      <c r="A34" s="30" t="s">
        <v>445</v>
      </c>
      <c r="B34" s="30" t="s">
        <v>390</v>
      </c>
      <c r="C34" s="32" t="s">
        <v>461</v>
      </c>
    </row>
    <row r="35" spans="1:3">
      <c r="A35" s="30" t="s">
        <v>445</v>
      </c>
      <c r="B35" s="30" t="s">
        <v>391</v>
      </c>
      <c r="C35" s="32" t="s">
        <v>462</v>
      </c>
    </row>
    <row r="36" spans="1:3">
      <c r="A36" s="30" t="s">
        <v>463</v>
      </c>
      <c r="B36" s="30" t="s">
        <v>392</v>
      </c>
      <c r="C36" s="31" t="s">
        <v>464</v>
      </c>
    </row>
    <row r="37" spans="1:3">
      <c r="A37" s="30" t="s">
        <v>463</v>
      </c>
      <c r="B37" s="30" t="s">
        <v>393</v>
      </c>
      <c r="C37" s="31" t="s">
        <v>465</v>
      </c>
    </row>
    <row r="38" spans="1:3">
      <c r="A38" s="30" t="s">
        <v>463</v>
      </c>
      <c r="B38" s="30" t="s">
        <v>394</v>
      </c>
      <c r="C38" s="31" t="s">
        <v>466</v>
      </c>
    </row>
    <row r="39" spans="1:3">
      <c r="A39" s="30" t="s">
        <v>463</v>
      </c>
      <c r="B39" s="30" t="s">
        <v>395</v>
      </c>
      <c r="C39" s="31" t="s">
        <v>467</v>
      </c>
    </row>
    <row r="40" spans="1:3">
      <c r="A40" s="30" t="s">
        <v>463</v>
      </c>
      <c r="B40" s="30" t="s">
        <v>396</v>
      </c>
      <c r="C40" s="31" t="s">
        <v>468</v>
      </c>
    </row>
    <row r="41" spans="1:3">
      <c r="A41" s="30" t="s">
        <v>463</v>
      </c>
      <c r="B41" s="30" t="s">
        <v>397</v>
      </c>
      <c r="C41" s="31" t="s">
        <v>469</v>
      </c>
    </row>
    <row r="42" spans="1:3">
      <c r="A42" s="30" t="s">
        <v>463</v>
      </c>
      <c r="B42" s="30" t="s">
        <v>398</v>
      </c>
      <c r="C42" s="31" t="s">
        <v>470</v>
      </c>
    </row>
    <row r="43" spans="1:3">
      <c r="A43" s="30" t="s">
        <v>463</v>
      </c>
      <c r="B43" s="30" t="s">
        <v>399</v>
      </c>
      <c r="C43" s="31" t="s">
        <v>471</v>
      </c>
    </row>
    <row r="44" spans="1:3">
      <c r="A44" s="30" t="s">
        <v>463</v>
      </c>
      <c r="B44" s="30" t="s">
        <v>400</v>
      </c>
      <c r="C44" s="31" t="s">
        <v>472</v>
      </c>
    </row>
    <row r="45" spans="1:3">
      <c r="A45" s="30" t="s">
        <v>463</v>
      </c>
      <c r="B45" s="30" t="s">
        <v>401</v>
      </c>
      <c r="C45" s="31" t="s">
        <v>473</v>
      </c>
    </row>
    <row r="46" spans="1:3">
      <c r="A46" s="30" t="s">
        <v>463</v>
      </c>
      <c r="B46" s="30" t="s">
        <v>402</v>
      </c>
      <c r="C46" s="31" t="s">
        <v>474</v>
      </c>
    </row>
    <row r="47" spans="1:3">
      <c r="A47" s="30" t="s">
        <v>463</v>
      </c>
      <c r="B47" s="30" t="s">
        <v>403</v>
      </c>
      <c r="C47" s="31" t="s">
        <v>475</v>
      </c>
    </row>
    <row r="48" spans="1:3">
      <c r="A48" s="30" t="s">
        <v>323</v>
      </c>
      <c r="B48" s="30" t="s">
        <v>324</v>
      </c>
      <c r="C48" s="32" t="s">
        <v>476</v>
      </c>
    </row>
    <row r="49" spans="1:3">
      <c r="A49" s="30" t="s">
        <v>477</v>
      </c>
      <c r="B49" s="30" t="s">
        <v>404</v>
      </c>
      <c r="C49" s="32" t="s">
        <v>478</v>
      </c>
    </row>
    <row r="50" spans="1:3">
      <c r="A50" s="30" t="s">
        <v>477</v>
      </c>
      <c r="B50" s="34" t="s">
        <v>405</v>
      </c>
      <c r="C50" s="35" t="s">
        <v>479</v>
      </c>
    </row>
    <row r="51" spans="1:3">
      <c r="A51" s="36" t="s">
        <v>477</v>
      </c>
      <c r="B51" s="13" t="s">
        <v>406</v>
      </c>
      <c r="C51" s="37" t="s">
        <v>480</v>
      </c>
    </row>
    <row r="52" spans="1:3">
      <c r="A52" s="36" t="s">
        <v>477</v>
      </c>
      <c r="B52" s="13" t="s">
        <v>407</v>
      </c>
      <c r="C52" s="37" t="s">
        <v>481</v>
      </c>
    </row>
    <row r="53" spans="1:3">
      <c r="A53" s="36" t="s">
        <v>333</v>
      </c>
      <c r="B53" s="13" t="s">
        <v>408</v>
      </c>
      <c r="C53" s="13" t="s">
        <v>482</v>
      </c>
    </row>
    <row r="54" spans="1:3">
      <c r="A54" s="36" t="s">
        <v>261</v>
      </c>
      <c r="B54" s="13" t="s">
        <v>262</v>
      </c>
      <c r="C54" s="38" t="s">
        <v>483</v>
      </c>
    </row>
    <row r="55" spans="1:3">
      <c r="A55" s="36" t="s">
        <v>129</v>
      </c>
      <c r="B55" s="13" t="s">
        <v>280</v>
      </c>
      <c r="C55" s="38" t="s">
        <v>484</v>
      </c>
    </row>
    <row r="56" spans="1:3">
      <c r="A56" s="36" t="s">
        <v>129</v>
      </c>
      <c r="B56" s="13" t="s">
        <v>281</v>
      </c>
      <c r="C56" s="38" t="s">
        <v>485</v>
      </c>
    </row>
    <row r="57" spans="1:3">
      <c r="A57" s="36" t="s">
        <v>129</v>
      </c>
      <c r="B57" s="13" t="s">
        <v>130</v>
      </c>
      <c r="C57" s="37" t="s">
        <v>486</v>
      </c>
    </row>
    <row r="58" spans="1:3">
      <c r="A58" s="36" t="s">
        <v>129</v>
      </c>
      <c r="B58" s="13" t="s">
        <v>284</v>
      </c>
      <c r="C58" s="37" t="s">
        <v>487</v>
      </c>
    </row>
    <row r="59" spans="1:3">
      <c r="A59" s="36" t="s">
        <v>129</v>
      </c>
      <c r="B59" s="13" t="s">
        <v>285</v>
      </c>
      <c r="C59" s="37" t="s">
        <v>488</v>
      </c>
    </row>
    <row r="60" spans="1:3">
      <c r="A60" s="36" t="s">
        <v>129</v>
      </c>
      <c r="B60" s="13" t="s">
        <v>286</v>
      </c>
      <c r="C60" s="37" t="s">
        <v>489</v>
      </c>
    </row>
    <row r="61" spans="1:3">
      <c r="A61" s="36" t="s">
        <v>129</v>
      </c>
      <c r="B61" s="13" t="s">
        <v>287</v>
      </c>
      <c r="C61" s="37" t="s">
        <v>490</v>
      </c>
    </row>
    <row r="62" spans="1:3">
      <c r="A62" s="36" t="s">
        <v>129</v>
      </c>
      <c r="B62" s="13" t="s">
        <v>289</v>
      </c>
      <c r="C62" s="37" t="s">
        <v>491</v>
      </c>
    </row>
    <row r="63" spans="1:3">
      <c r="A63" s="36" t="s">
        <v>129</v>
      </c>
      <c r="B63" s="13" t="s">
        <v>290</v>
      </c>
      <c r="C63" s="37" t="s">
        <v>492</v>
      </c>
    </row>
    <row r="64" spans="1:3">
      <c r="A64" s="36" t="s">
        <v>55</v>
      </c>
      <c r="B64" s="13" t="s">
        <v>226</v>
      </c>
      <c r="C64" s="38" t="s">
        <v>493</v>
      </c>
    </row>
    <row r="65" spans="1:3">
      <c r="A65" s="36" t="s">
        <v>55</v>
      </c>
      <c r="B65" s="13" t="s">
        <v>109</v>
      </c>
      <c r="C65" s="38" t="s">
        <v>494</v>
      </c>
    </row>
    <row r="66" spans="1:3">
      <c r="A66" s="36" t="s">
        <v>55</v>
      </c>
      <c r="B66" s="13" t="s">
        <v>56</v>
      </c>
      <c r="C66" s="39" t="s">
        <v>495</v>
      </c>
    </row>
    <row r="67" spans="1:3">
      <c r="A67" s="36" t="s">
        <v>55</v>
      </c>
      <c r="B67" s="13" t="s">
        <v>265</v>
      </c>
      <c r="C67" s="40" t="s">
        <v>496</v>
      </c>
    </row>
    <row r="68" spans="1:3">
      <c r="A68" s="36" t="s">
        <v>55</v>
      </c>
      <c r="B68" s="13" t="s">
        <v>267</v>
      </c>
      <c r="C68" s="40" t="s">
        <v>497</v>
      </c>
    </row>
    <row r="69" spans="1:3">
      <c r="A69" s="36" t="s">
        <v>55</v>
      </c>
      <c r="B69" s="13" t="s">
        <v>112</v>
      </c>
      <c r="C69" s="37" t="s">
        <v>498</v>
      </c>
    </row>
    <row r="70" spans="1:3">
      <c r="A70" s="36" t="s">
        <v>133</v>
      </c>
      <c r="B70" s="13" t="s">
        <v>291</v>
      </c>
      <c r="C70" s="38" t="s">
        <v>499</v>
      </c>
    </row>
    <row r="71" spans="1:3">
      <c r="A71" s="36" t="s">
        <v>133</v>
      </c>
      <c r="B71" s="13" t="s">
        <v>293</v>
      </c>
      <c r="C71" s="38" t="s">
        <v>500</v>
      </c>
    </row>
    <row r="72" spans="1:3">
      <c r="A72" s="36" t="s">
        <v>133</v>
      </c>
      <c r="B72" s="13" t="s">
        <v>295</v>
      </c>
      <c r="C72" s="38" t="s">
        <v>501</v>
      </c>
    </row>
    <row r="73" spans="1:3">
      <c r="A73" s="36" t="s">
        <v>133</v>
      </c>
      <c r="B73" s="13" t="s">
        <v>298</v>
      </c>
      <c r="C73" s="38" t="s">
        <v>502</v>
      </c>
    </row>
    <row r="74" spans="1:3">
      <c r="A74" s="36" t="s">
        <v>133</v>
      </c>
      <c r="B74" s="13" t="s">
        <v>134</v>
      </c>
      <c r="C74" s="38" t="s">
        <v>503</v>
      </c>
    </row>
    <row r="75" spans="1:3">
      <c r="A75" s="36" t="s">
        <v>133</v>
      </c>
      <c r="B75" s="13" t="s">
        <v>165</v>
      </c>
      <c r="C75" s="37" t="s">
        <v>504</v>
      </c>
    </row>
    <row r="76" spans="1:3">
      <c r="A76" s="36" t="s">
        <v>133</v>
      </c>
      <c r="B76" s="13" t="s">
        <v>300</v>
      </c>
      <c r="C76" s="37" t="s">
        <v>505</v>
      </c>
    </row>
    <row r="77" spans="1:3">
      <c r="A77" s="36" t="s">
        <v>133</v>
      </c>
      <c r="B77" s="13" t="s">
        <v>302</v>
      </c>
      <c r="C77" s="37" t="s">
        <v>506</v>
      </c>
    </row>
    <row r="78" spans="1:3">
      <c r="A78" s="36" t="s">
        <v>133</v>
      </c>
      <c r="B78" s="13" t="s">
        <v>304</v>
      </c>
      <c r="C78" s="37" t="s">
        <v>507</v>
      </c>
    </row>
    <row r="79" spans="1:3">
      <c r="A79" s="36" t="s">
        <v>133</v>
      </c>
      <c r="B79" s="13" t="s">
        <v>306</v>
      </c>
      <c r="C79" s="38" t="s">
        <v>508</v>
      </c>
    </row>
    <row r="80" spans="1:3">
      <c r="A80" s="36" t="s">
        <v>77</v>
      </c>
      <c r="B80" s="13" t="s">
        <v>241</v>
      </c>
      <c r="C80" s="38" t="s">
        <v>509</v>
      </c>
    </row>
    <row r="81" spans="1:3">
      <c r="A81" s="36" t="s">
        <v>77</v>
      </c>
      <c r="B81" s="13" t="s">
        <v>307</v>
      </c>
      <c r="C81" s="38" t="s">
        <v>510</v>
      </c>
    </row>
    <row r="82" spans="1:3">
      <c r="A82" s="36" t="s">
        <v>77</v>
      </c>
      <c r="B82" s="13" t="s">
        <v>309</v>
      </c>
      <c r="C82" s="38" t="s">
        <v>511</v>
      </c>
    </row>
    <row r="83" spans="1:3">
      <c r="A83" s="36" t="s">
        <v>77</v>
      </c>
      <c r="B83" s="13" t="s">
        <v>310</v>
      </c>
      <c r="C83" s="38" t="s">
        <v>512</v>
      </c>
    </row>
    <row r="84" spans="1:3">
      <c r="A84" s="36" t="s">
        <v>77</v>
      </c>
      <c r="B84" s="13" t="s">
        <v>311</v>
      </c>
      <c r="C84" s="38" t="s">
        <v>513</v>
      </c>
    </row>
    <row r="85" spans="1:3">
      <c r="A85" s="36" t="s">
        <v>77</v>
      </c>
      <c r="B85" s="13" t="s">
        <v>78</v>
      </c>
      <c r="C85" s="37" t="s">
        <v>514</v>
      </c>
    </row>
    <row r="86" spans="1:3">
      <c r="A86" s="36" t="s">
        <v>77</v>
      </c>
      <c r="B86" s="13" t="s">
        <v>312</v>
      </c>
      <c r="C86" s="37" t="s">
        <v>515</v>
      </c>
    </row>
    <row r="87" spans="1:3">
      <c r="A87" s="36" t="s">
        <v>77</v>
      </c>
      <c r="B87" s="13" t="s">
        <v>313</v>
      </c>
      <c r="C87" s="37" t="s">
        <v>516</v>
      </c>
    </row>
    <row r="88" spans="1:3">
      <c r="A88" s="36" t="s">
        <v>77</v>
      </c>
      <c r="B88" s="13" t="s">
        <v>314</v>
      </c>
      <c r="C88" s="38" t="s">
        <v>517</v>
      </c>
    </row>
    <row r="89" spans="1:3">
      <c r="A89" s="36" t="s">
        <v>71</v>
      </c>
      <c r="B89" s="13" t="s">
        <v>72</v>
      </c>
      <c r="C89" s="38" t="s">
        <v>518</v>
      </c>
    </row>
    <row r="90" spans="1:3">
      <c r="A90" s="36" t="s">
        <v>71</v>
      </c>
      <c r="B90" s="13" t="s">
        <v>152</v>
      </c>
      <c r="C90" s="38" t="s">
        <v>519</v>
      </c>
    </row>
    <row r="91" spans="1:3">
      <c r="A91" s="36" t="s">
        <v>83</v>
      </c>
      <c r="B91" s="13" t="s">
        <v>177</v>
      </c>
      <c r="C91" s="37" t="s">
        <v>520</v>
      </c>
    </row>
    <row r="92" spans="1:3">
      <c r="A92" s="36" t="s">
        <v>83</v>
      </c>
      <c r="B92" s="13" t="s">
        <v>210</v>
      </c>
      <c r="C92" s="37" t="s">
        <v>521</v>
      </c>
    </row>
    <row r="93" spans="1:3">
      <c r="A93" s="36" t="s">
        <v>83</v>
      </c>
      <c r="B93" s="13" t="s">
        <v>168</v>
      </c>
      <c r="C93" s="37" t="s">
        <v>522</v>
      </c>
    </row>
    <row r="94" spans="1:3">
      <c r="A94" s="36" t="s">
        <v>83</v>
      </c>
      <c r="B94" s="13" t="s">
        <v>84</v>
      </c>
      <c r="C94" s="37" t="s">
        <v>523</v>
      </c>
    </row>
    <row r="95" spans="1:3">
      <c r="A95" s="36" t="s">
        <v>83</v>
      </c>
      <c r="B95" s="13" t="s">
        <v>231</v>
      </c>
      <c r="C95" s="37" t="s">
        <v>524</v>
      </c>
    </row>
    <row r="96" spans="1:3">
      <c r="A96" s="36" t="s">
        <v>83</v>
      </c>
      <c r="B96" s="13" t="s">
        <v>233</v>
      </c>
      <c r="C96" s="37" t="s">
        <v>525</v>
      </c>
    </row>
    <row r="97" spans="1:3">
      <c r="A97" s="36" t="s">
        <v>83</v>
      </c>
      <c r="B97" s="13" t="s">
        <v>182</v>
      </c>
      <c r="C97" s="37" t="s">
        <v>526</v>
      </c>
    </row>
    <row r="98" spans="1:3">
      <c r="A98" s="36" t="s">
        <v>83</v>
      </c>
      <c r="B98" s="13" t="s">
        <v>172</v>
      </c>
      <c r="C98" s="37" t="s">
        <v>527</v>
      </c>
    </row>
    <row r="99" spans="1:3">
      <c r="A99" s="36" t="s">
        <v>83</v>
      </c>
      <c r="B99" s="13" t="s">
        <v>185</v>
      </c>
      <c r="C99" s="37" t="s">
        <v>528</v>
      </c>
    </row>
    <row r="100" spans="1:3">
      <c r="A100" s="36" t="s">
        <v>83</v>
      </c>
      <c r="B100" s="13" t="s">
        <v>202</v>
      </c>
      <c r="C100" s="37" t="s">
        <v>529</v>
      </c>
    </row>
    <row r="101" spans="1:3">
      <c r="A101" s="36" t="s">
        <v>83</v>
      </c>
      <c r="B101" s="13" t="s">
        <v>89</v>
      </c>
      <c r="C101" s="37" t="s">
        <v>530</v>
      </c>
    </row>
    <row r="102" spans="1:3">
      <c r="A102" s="36" t="s">
        <v>83</v>
      </c>
      <c r="B102" s="13" t="s">
        <v>91</v>
      </c>
      <c r="C102" s="37" t="s">
        <v>531</v>
      </c>
    </row>
    <row r="103" spans="1:3">
      <c r="A103" s="36" t="s">
        <v>83</v>
      </c>
      <c r="B103" s="13" t="s">
        <v>213</v>
      </c>
      <c r="C103" s="13" t="s">
        <v>532</v>
      </c>
    </row>
    <row r="104" spans="1:3">
      <c r="A104" s="36" t="s">
        <v>83</v>
      </c>
      <c r="B104" s="13" t="s">
        <v>214</v>
      </c>
      <c r="C104" s="13" t="s">
        <v>533</v>
      </c>
    </row>
    <row r="105" spans="1:3">
      <c r="A105" s="36" t="s">
        <v>83</v>
      </c>
      <c r="B105" s="13" t="s">
        <v>215</v>
      </c>
      <c r="C105" s="13" t="s">
        <v>534</v>
      </c>
    </row>
    <row r="106" spans="1:3">
      <c r="A106" s="36" t="s">
        <v>83</v>
      </c>
      <c r="B106" s="13" t="s">
        <v>93</v>
      </c>
      <c r="C106" s="13" t="s">
        <v>535</v>
      </c>
    </row>
    <row r="107" spans="1:3">
      <c r="A107" s="36" t="s">
        <v>83</v>
      </c>
      <c r="B107" s="13" t="s">
        <v>204</v>
      </c>
      <c r="C107" s="14" t="s">
        <v>536</v>
      </c>
    </row>
    <row r="108" spans="1:3">
      <c r="A108" s="36" t="s">
        <v>83</v>
      </c>
      <c r="B108" s="13" t="s">
        <v>99</v>
      </c>
      <c r="C108" s="13" t="s">
        <v>537</v>
      </c>
    </row>
    <row r="109" spans="1:3">
      <c r="A109" s="36" t="s">
        <v>83</v>
      </c>
      <c r="B109" s="13" t="s">
        <v>101</v>
      </c>
      <c r="C109" s="13" t="s">
        <v>538</v>
      </c>
    </row>
    <row r="110" spans="1:3">
      <c r="A110" s="36" t="s">
        <v>83</v>
      </c>
      <c r="B110" s="13" t="s">
        <v>216</v>
      </c>
      <c r="C110" s="13" t="s">
        <v>539</v>
      </c>
    </row>
    <row r="111" spans="1:3">
      <c r="A111" s="36" t="s">
        <v>83</v>
      </c>
      <c r="B111" s="13" t="s">
        <v>187</v>
      </c>
      <c r="C111" s="13" t="s">
        <v>540</v>
      </c>
    </row>
    <row r="112" spans="1:3">
      <c r="A112" s="36" t="s">
        <v>83</v>
      </c>
      <c r="B112" s="13" t="s">
        <v>217</v>
      </c>
      <c r="C112" s="13" t="s">
        <v>541</v>
      </c>
    </row>
    <row r="113" spans="1:3">
      <c r="A113" s="36" t="s">
        <v>83</v>
      </c>
      <c r="B113" s="13" t="s">
        <v>218</v>
      </c>
      <c r="C113" s="13" t="s">
        <v>542</v>
      </c>
    </row>
    <row r="114" spans="1:3">
      <c r="A114" s="36" t="s">
        <v>83</v>
      </c>
      <c r="B114" s="13" t="s">
        <v>219</v>
      </c>
      <c r="C114" s="13" t="s">
        <v>543</v>
      </c>
    </row>
    <row r="115" spans="1:3">
      <c r="A115" s="36" t="s">
        <v>83</v>
      </c>
      <c r="B115" s="13" t="s">
        <v>220</v>
      </c>
      <c r="C115" s="13" t="s">
        <v>544</v>
      </c>
    </row>
    <row r="116" spans="1:3">
      <c r="A116" s="36" t="s">
        <v>83</v>
      </c>
      <c r="B116" s="13" t="s">
        <v>221</v>
      </c>
      <c r="C116" s="13" t="s">
        <v>545</v>
      </c>
    </row>
    <row r="117" spans="1:3">
      <c r="A117" s="36" t="s">
        <v>83</v>
      </c>
      <c r="B117" s="13" t="s">
        <v>207</v>
      </c>
      <c r="C117" s="13" t="s">
        <v>546</v>
      </c>
    </row>
    <row r="118" spans="1:3">
      <c r="A118" s="36" t="s">
        <v>83</v>
      </c>
      <c r="B118" s="13" t="s">
        <v>208</v>
      </c>
      <c r="C118" s="13" t="s">
        <v>547</v>
      </c>
    </row>
    <row r="119" spans="1:3">
      <c r="A119" s="36" t="s">
        <v>83</v>
      </c>
      <c r="B119" s="13" t="s">
        <v>209</v>
      </c>
      <c r="C119" s="13" t="s">
        <v>548</v>
      </c>
    </row>
    <row r="120" spans="1:3">
      <c r="A120" s="36" t="s">
        <v>83</v>
      </c>
      <c r="B120" s="13" t="s">
        <v>176</v>
      </c>
      <c r="C120" s="13" t="s">
        <v>549</v>
      </c>
    </row>
    <row r="121" spans="1:3">
      <c r="A121" s="36" t="s">
        <v>83</v>
      </c>
      <c r="B121" s="13" t="s">
        <v>235</v>
      </c>
      <c r="C121" s="13" t="s">
        <v>550</v>
      </c>
    </row>
    <row r="122" spans="1:3">
      <c r="A122" s="36" t="s">
        <v>250</v>
      </c>
      <c r="B122" s="13" t="s">
        <v>251</v>
      </c>
      <c r="C122" s="37" t="s">
        <v>551</v>
      </c>
    </row>
    <row r="123" spans="1:3">
      <c r="A123" s="36" t="s">
        <v>250</v>
      </c>
      <c r="B123" s="13" t="s">
        <v>253</v>
      </c>
      <c r="C123" s="37" t="s">
        <v>552</v>
      </c>
    </row>
    <row r="124" spans="1:3">
      <c r="A124" s="36" t="s">
        <v>250</v>
      </c>
      <c r="B124" s="13" t="s">
        <v>255</v>
      </c>
      <c r="C124" s="37" t="s">
        <v>553</v>
      </c>
    </row>
    <row r="125" spans="1:3">
      <c r="A125" s="36" t="s">
        <v>8</v>
      </c>
      <c r="B125" s="13" t="s">
        <v>256</v>
      </c>
      <c r="C125" s="38" t="s">
        <v>554</v>
      </c>
    </row>
    <row r="126" spans="1:3">
      <c r="A126" s="36" t="s">
        <v>189</v>
      </c>
      <c r="B126" s="13" t="s">
        <v>190</v>
      </c>
      <c r="C126" s="37" t="s">
        <v>555</v>
      </c>
    </row>
    <row r="127" spans="1:3">
      <c r="A127" s="36" t="s">
        <v>268</v>
      </c>
      <c r="B127" s="13" t="s">
        <v>269</v>
      </c>
      <c r="C127" s="41" t="s">
        <v>556</v>
      </c>
    </row>
    <row r="128" spans="1:3">
      <c r="A128" s="36" t="s">
        <v>125</v>
      </c>
      <c r="B128" s="13" t="s">
        <v>237</v>
      </c>
      <c r="C128" s="37" t="s">
        <v>557</v>
      </c>
    </row>
    <row r="129" spans="1:3">
      <c r="A129" s="36" t="s">
        <v>125</v>
      </c>
      <c r="B129" s="13" t="s">
        <v>126</v>
      </c>
      <c r="C129" s="37" t="s">
        <v>558</v>
      </c>
    </row>
    <row r="130" spans="1:3">
      <c r="A130" s="36" t="s">
        <v>125</v>
      </c>
      <c r="B130" s="13" t="s">
        <v>238</v>
      </c>
      <c r="C130" s="37" t="s">
        <v>559</v>
      </c>
    </row>
    <row r="131" spans="1:3">
      <c r="A131" s="36" t="s">
        <v>195</v>
      </c>
      <c r="B131" s="13" t="s">
        <v>196</v>
      </c>
      <c r="C131" s="37" t="s">
        <v>560</v>
      </c>
    </row>
    <row r="132" spans="1:3">
      <c r="A132" s="36" t="s">
        <v>277</v>
      </c>
      <c r="B132" s="13" t="s">
        <v>278</v>
      </c>
      <c r="C132" s="42" t="s">
        <v>561</v>
      </c>
    </row>
    <row r="133" spans="1:3">
      <c r="A133" s="36" t="s">
        <v>31</v>
      </c>
      <c r="B133" s="13" t="s">
        <v>198</v>
      </c>
      <c r="C133" s="38" t="s">
        <v>562</v>
      </c>
    </row>
    <row r="134" spans="1:3">
      <c r="A134" s="36" t="s">
        <v>31</v>
      </c>
      <c r="B134" s="13" t="s">
        <v>200</v>
      </c>
      <c r="C134" s="37" t="s">
        <v>563</v>
      </c>
    </row>
    <row r="135" spans="1:3">
      <c r="A135" s="36" t="s">
        <v>63</v>
      </c>
      <c r="B135" s="13" t="s">
        <v>117</v>
      </c>
      <c r="C135" s="13" t="s">
        <v>564</v>
      </c>
    </row>
    <row r="136" spans="1:3">
      <c r="A136" s="36" t="s">
        <v>63</v>
      </c>
      <c r="B136" s="13" t="s">
        <v>246</v>
      </c>
      <c r="C136" s="13" t="s">
        <v>565</v>
      </c>
    </row>
    <row r="137" spans="1:3">
      <c r="A137" s="36" t="s">
        <v>63</v>
      </c>
      <c r="B137" s="13" t="s">
        <v>64</v>
      </c>
      <c r="C137" s="13" t="s">
        <v>566</v>
      </c>
    </row>
    <row r="138" spans="1:3">
      <c r="A138" s="36" t="s">
        <v>63</v>
      </c>
      <c r="B138" s="13" t="s">
        <v>272</v>
      </c>
      <c r="C138" s="13" t="s">
        <v>567</v>
      </c>
    </row>
    <row r="139" spans="1:3">
      <c r="A139" s="36" t="s">
        <v>63</v>
      </c>
      <c r="B139" s="13" t="s">
        <v>121</v>
      </c>
      <c r="C139" s="13" t="s">
        <v>568</v>
      </c>
    </row>
    <row r="140" spans="1:3">
      <c r="A140" s="36" t="s">
        <v>63</v>
      </c>
      <c r="B140" s="13" t="s">
        <v>273</v>
      </c>
      <c r="C140" s="13" t="s">
        <v>569</v>
      </c>
    </row>
    <row r="141" spans="1:3">
      <c r="A141" s="36" t="s">
        <v>63</v>
      </c>
      <c r="B141" s="13" t="s">
        <v>275</v>
      </c>
      <c r="C141" s="13" t="s">
        <v>570</v>
      </c>
    </row>
    <row r="142" spans="1:3">
      <c r="A142" s="36" t="s">
        <v>133</v>
      </c>
      <c r="B142" s="13" t="s">
        <v>139</v>
      </c>
      <c r="C142" s="37" t="s">
        <v>571</v>
      </c>
    </row>
    <row r="143" spans="1:3">
      <c r="A143" s="36" t="s">
        <v>8</v>
      </c>
      <c r="B143" s="13" t="s">
        <v>9</v>
      </c>
      <c r="C143" s="13" t="s">
        <v>572</v>
      </c>
    </row>
    <row r="144" spans="1:3">
      <c r="A144" s="36" t="s">
        <v>8</v>
      </c>
      <c r="B144" s="13" t="s">
        <v>11</v>
      </c>
      <c r="C144" s="13" t="s">
        <v>573</v>
      </c>
    </row>
    <row r="145" spans="1:3">
      <c r="A145" s="36" t="s">
        <v>8</v>
      </c>
      <c r="B145" s="13" t="s">
        <v>12</v>
      </c>
      <c r="C145" s="13" t="s">
        <v>574</v>
      </c>
    </row>
    <row r="146" spans="1:3">
      <c r="A146" s="36" t="s">
        <v>8</v>
      </c>
      <c r="B146" s="13" t="s">
        <v>13</v>
      </c>
      <c r="C146" s="13" t="s">
        <v>575</v>
      </c>
    </row>
    <row r="147" spans="1:3">
      <c r="A147" s="36" t="s">
        <v>8</v>
      </c>
      <c r="B147" s="13" t="s">
        <v>14</v>
      </c>
      <c r="C147" s="13" t="s">
        <v>576</v>
      </c>
    </row>
    <row r="148" spans="1:3">
      <c r="A148" s="36" t="s">
        <v>8</v>
      </c>
      <c r="B148" s="13" t="s">
        <v>15</v>
      </c>
      <c r="C148" s="13" t="s">
        <v>577</v>
      </c>
    </row>
    <row r="149" spans="1:3">
      <c r="A149" s="36" t="s">
        <v>8</v>
      </c>
      <c r="B149" s="13" t="s">
        <v>16</v>
      </c>
      <c r="C149" s="37" t="s">
        <v>578</v>
      </c>
    </row>
    <row r="150" spans="1:3">
      <c r="A150" s="36" t="s">
        <v>17</v>
      </c>
      <c r="B150" s="13" t="s">
        <v>18</v>
      </c>
      <c r="C150" s="38" t="s">
        <v>579</v>
      </c>
    </row>
    <row r="151" spans="1:3">
      <c r="A151" s="36" t="s">
        <v>17</v>
      </c>
      <c r="B151" s="13" t="s">
        <v>19</v>
      </c>
      <c r="C151" s="38" t="s">
        <v>580</v>
      </c>
    </row>
    <row r="152" spans="1:3">
      <c r="A152" s="36" t="s">
        <v>17</v>
      </c>
      <c r="B152" s="13" t="s">
        <v>20</v>
      </c>
      <c r="C152" s="38" t="s">
        <v>581</v>
      </c>
    </row>
    <row r="153" spans="1:3">
      <c r="A153" s="36" t="s">
        <v>17</v>
      </c>
      <c r="B153" s="13" t="s">
        <v>24</v>
      </c>
      <c r="C153" s="38" t="s">
        <v>582</v>
      </c>
    </row>
    <row r="154" spans="1:3">
      <c r="A154" s="36" t="s">
        <v>17</v>
      </c>
      <c r="B154" s="13" t="s">
        <v>25</v>
      </c>
      <c r="C154" s="38" t="s">
        <v>583</v>
      </c>
    </row>
    <row r="155" spans="1:3">
      <c r="A155" s="36" t="s">
        <v>17</v>
      </c>
      <c r="B155" s="13" t="s">
        <v>26</v>
      </c>
      <c r="C155" s="38" t="s">
        <v>584</v>
      </c>
    </row>
    <row r="156" spans="1:3">
      <c r="A156" s="36" t="s">
        <v>17</v>
      </c>
      <c r="B156" s="13" t="s">
        <v>28</v>
      </c>
      <c r="C156" s="38" t="s">
        <v>585</v>
      </c>
    </row>
    <row r="157" spans="1:3">
      <c r="A157" s="36" t="s">
        <v>17</v>
      </c>
      <c r="B157" s="13" t="s">
        <v>29</v>
      </c>
      <c r="C157" s="13" t="s">
        <v>586</v>
      </c>
    </row>
    <row r="158" spans="1:3">
      <c r="A158" s="36" t="s">
        <v>17</v>
      </c>
      <c r="B158" s="13" t="s">
        <v>149</v>
      </c>
      <c r="C158" s="38" t="s">
        <v>587</v>
      </c>
    </row>
    <row r="159" spans="1:3">
      <c r="A159" s="36" t="s">
        <v>31</v>
      </c>
      <c r="B159" s="13" t="s">
        <v>32</v>
      </c>
      <c r="C159" s="38" t="s">
        <v>588</v>
      </c>
    </row>
    <row r="160" spans="1:3">
      <c r="A160" s="36" t="s">
        <v>31</v>
      </c>
      <c r="B160" s="13" t="s">
        <v>33</v>
      </c>
      <c r="C160" s="38" t="s">
        <v>589</v>
      </c>
    </row>
    <row r="161" spans="1:3">
      <c r="A161" s="36" t="s">
        <v>31</v>
      </c>
      <c r="B161" s="13" t="s">
        <v>34</v>
      </c>
      <c r="C161" s="38" t="s">
        <v>590</v>
      </c>
    </row>
    <row r="162" spans="1:3">
      <c r="A162" s="36" t="s">
        <v>31</v>
      </c>
      <c r="B162" s="13" t="s">
        <v>35</v>
      </c>
      <c r="C162" s="38" t="s">
        <v>591</v>
      </c>
    </row>
    <row r="163" spans="1:3">
      <c r="A163" s="36" t="s">
        <v>31</v>
      </c>
      <c r="B163" s="13" t="s">
        <v>38</v>
      </c>
      <c r="C163" s="38" t="s">
        <v>592</v>
      </c>
    </row>
    <row r="164" spans="1:3">
      <c r="A164" s="36" t="s">
        <v>31</v>
      </c>
      <c r="B164" s="13" t="s">
        <v>39</v>
      </c>
      <c r="C164" s="38" t="s">
        <v>593</v>
      </c>
    </row>
    <row r="165" spans="1:3">
      <c r="A165" s="36" t="s">
        <v>31</v>
      </c>
      <c r="B165" s="13" t="s">
        <v>40</v>
      </c>
      <c r="C165" s="37" t="s">
        <v>594</v>
      </c>
    </row>
    <row r="166" spans="1:3">
      <c r="A166" s="36" t="s">
        <v>31</v>
      </c>
      <c r="B166" s="13" t="s">
        <v>41</v>
      </c>
      <c r="C166" s="37" t="s">
        <v>595</v>
      </c>
    </row>
    <row r="167" spans="1:3">
      <c r="A167" s="36" t="s">
        <v>31</v>
      </c>
      <c r="B167" s="13" t="s">
        <v>42</v>
      </c>
      <c r="C167" s="13" t="s">
        <v>596</v>
      </c>
    </row>
  </sheetData>
  <conditionalFormatting sqref="C2:C4">
    <cfRule type="duplicateValues" dxfId="394" priority="3"/>
    <cfRule type="duplicateValues" dxfId="393" priority="4"/>
    <cfRule type="duplicateValues" dxfId="392" priority="5"/>
    <cfRule type="duplicateValues" dxfId="391" priority="6"/>
    <cfRule type="duplicateValues" dxfId="390" priority="7"/>
    <cfRule type="duplicateValues" dxfId="389" priority="8"/>
    <cfRule type="duplicateValues" dxfId="388" priority="9"/>
    <cfRule type="duplicateValues" dxfId="387" priority="10"/>
    <cfRule type="duplicateValues" dxfId="386" priority="11"/>
    <cfRule type="duplicateValues" dxfId="385" priority="12"/>
  </conditionalFormatting>
  <conditionalFormatting sqref="C5">
    <cfRule type="duplicateValues" dxfId="384" priority="13"/>
    <cfRule type="duplicateValues" dxfId="383" priority="14"/>
    <cfRule type="duplicateValues" dxfId="382" priority="15"/>
    <cfRule type="duplicateValues" dxfId="381" priority="16"/>
    <cfRule type="duplicateValues" dxfId="380" priority="17"/>
    <cfRule type="duplicateValues" dxfId="379" priority="18"/>
    <cfRule type="duplicateValues" dxfId="378" priority="19"/>
    <cfRule type="duplicateValues" dxfId="377" priority="20"/>
    <cfRule type="duplicateValues" dxfId="376" priority="21"/>
    <cfRule type="duplicateValues" dxfId="375" priority="22"/>
  </conditionalFormatting>
  <conditionalFormatting sqref="C46:C48">
    <cfRule type="duplicateValues" dxfId="374" priority="61"/>
    <cfRule type="duplicateValues" dxfId="373" priority="62"/>
    <cfRule type="duplicateValues" dxfId="372" priority="63"/>
    <cfRule type="duplicateValues" dxfId="371" priority="64"/>
    <cfRule type="duplicateValues" dxfId="370" priority="65"/>
    <cfRule type="duplicateValues" dxfId="369" priority="66"/>
    <cfRule type="duplicateValues" dxfId="368" priority="67"/>
    <cfRule type="duplicateValues" dxfId="367" priority="68"/>
    <cfRule type="duplicateValues" dxfId="366" priority="69"/>
    <cfRule type="duplicateValues" dxfId="365" priority="70"/>
  </conditionalFormatting>
  <conditionalFormatting sqref="C63">
    <cfRule type="duplicateValues" dxfId="364" priority="47"/>
    <cfRule type="duplicateValues" dxfId="363" priority="48"/>
    <cfRule type="duplicateValues" dxfId="362" priority="49"/>
    <cfRule type="duplicateValues" dxfId="361" priority="50"/>
    <cfRule type="duplicateValues" dxfId="360" priority="51"/>
    <cfRule type="duplicateValues" dxfId="359" priority="52"/>
    <cfRule type="duplicateValues" dxfId="358" priority="53"/>
    <cfRule type="duplicateValues" dxfId="357" priority="54"/>
    <cfRule type="duplicateValues" dxfId="356" priority="55"/>
    <cfRule type="duplicateValues" dxfId="355" priority="56"/>
    <cfRule type="duplicateValues" dxfId="354" priority="57"/>
    <cfRule type="duplicateValues" dxfId="353" priority="58"/>
    <cfRule type="duplicateValues" dxfId="352" priority="59"/>
    <cfRule type="duplicateValues" dxfId="351" priority="60"/>
  </conditionalFormatting>
  <conditionalFormatting sqref="C68">
    <cfRule type="duplicateValues" dxfId="350" priority="2"/>
  </conditionalFormatting>
  <conditionalFormatting sqref="C103">
    <cfRule type="duplicateValues" dxfId="349" priority="37"/>
    <cfRule type="duplicateValues" dxfId="348" priority="38"/>
    <cfRule type="duplicateValues" dxfId="347" priority="39"/>
    <cfRule type="duplicateValues" dxfId="346" priority="40"/>
    <cfRule type="duplicateValues" dxfId="345" priority="41"/>
    <cfRule type="duplicateValues" dxfId="344" priority="42"/>
    <cfRule type="duplicateValues" dxfId="343" priority="43"/>
    <cfRule type="duplicateValues" dxfId="342" priority="44"/>
    <cfRule type="duplicateValues" dxfId="341" priority="45"/>
    <cfRule type="duplicateValues" dxfId="340" priority="46"/>
  </conditionalFormatting>
  <conditionalFormatting sqref="C125">
    <cfRule type="duplicateValues" dxfId="339" priority="23"/>
    <cfRule type="duplicateValues" dxfId="338" priority="24"/>
    <cfRule type="duplicateValues" dxfId="337" priority="25"/>
    <cfRule type="duplicateValues" dxfId="336" priority="26"/>
    <cfRule type="duplicateValues" dxfId="335" priority="27"/>
    <cfRule type="duplicateValues" dxfId="334" priority="28"/>
    <cfRule type="duplicateValues" dxfId="333" priority="29"/>
    <cfRule type="duplicateValues" dxfId="332" priority="30"/>
    <cfRule type="duplicateValues" dxfId="331" priority="31"/>
    <cfRule type="duplicateValues" dxfId="330" priority="32"/>
    <cfRule type="duplicateValues" dxfId="329" priority="33"/>
    <cfRule type="duplicateValues" dxfId="328" priority="34"/>
    <cfRule type="duplicateValues" dxfId="327" priority="35"/>
    <cfRule type="duplicateValues" dxfId="326" priority="36"/>
  </conditionalFormatting>
  <conditionalFormatting sqref="C127">
    <cfRule type="duplicateValues" dxfId="325" priority="1"/>
  </conditionalFormatting>
  <conditionalFormatting sqref="C107:C109">
    <cfRule type="duplicateValues" dxfId="324" priority="71"/>
    <cfRule type="duplicateValues" dxfId="323" priority="72"/>
    <cfRule type="duplicateValues" dxfId="322" priority="73"/>
    <cfRule type="duplicateValues" dxfId="321" priority="74"/>
    <cfRule type="duplicateValues" dxfId="320" priority="75"/>
    <cfRule type="duplicateValues" dxfId="319" priority="76"/>
    <cfRule type="duplicateValues" dxfId="318" priority="77"/>
    <cfRule type="duplicateValues" dxfId="317" priority="78"/>
    <cfRule type="duplicateValues" dxfId="316" priority="79"/>
    <cfRule type="duplicateValues" dxfId="315" priority="80"/>
  </conditionalFormatting>
  <conditionalFormatting sqref="C94:C98">
    <cfRule type="duplicateValues" dxfId="314" priority="81"/>
    <cfRule type="duplicateValues" dxfId="313" priority="82"/>
    <cfRule type="duplicateValues" dxfId="312" priority="83"/>
    <cfRule type="duplicateValues" dxfId="311" priority="84"/>
    <cfRule type="duplicateValues" dxfId="310" priority="85"/>
    <cfRule type="duplicateValues" dxfId="309" priority="86"/>
    <cfRule type="duplicateValues" dxfId="308" priority="87"/>
    <cfRule type="duplicateValues" dxfId="307" priority="88"/>
    <cfRule type="duplicateValues" dxfId="306" priority="89"/>
    <cfRule type="duplicateValues" dxfId="305" priority="90"/>
  </conditionalFormatting>
  <conditionalFormatting sqref="C117:C122">
    <cfRule type="duplicateValues" dxfId="304" priority="91"/>
    <cfRule type="duplicateValues" dxfId="303" priority="92"/>
    <cfRule type="duplicateValues" dxfId="302" priority="93"/>
    <cfRule type="duplicateValues" dxfId="301" priority="94"/>
    <cfRule type="duplicateValues" dxfId="300" priority="95"/>
    <cfRule type="duplicateValues" dxfId="299" priority="96"/>
    <cfRule type="duplicateValues" dxfId="298" priority="97"/>
    <cfRule type="duplicateValues" dxfId="297" priority="98"/>
    <cfRule type="duplicateValues" dxfId="296" priority="99"/>
    <cfRule type="duplicateValues" dxfId="295" priority="100"/>
  </conditionalFormatting>
  <conditionalFormatting sqref="C142 C128:C134 C126 C67 C69:C124 C1:C52 C54:C65 C149:C167">
    <cfRule type="duplicateValues" dxfId="294" priority="10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5708-8FB5-48BB-9824-DB20A27C0386}">
  <dimension ref="A1:K32"/>
  <sheetViews>
    <sheetView workbookViewId="0">
      <selection activeCell="C17" sqref="C17"/>
    </sheetView>
  </sheetViews>
  <sheetFormatPr defaultRowHeight="15"/>
  <cols>
    <col min="1" max="1" width="49.5703125" customWidth="1"/>
    <col min="2" max="2" width="20.140625" bestFit="1" customWidth="1"/>
    <col min="3" max="3" width="36.5703125" customWidth="1"/>
    <col min="4" max="4" width="9.140625" bestFit="1" customWidth="1"/>
    <col min="7" max="7" width="9.140625" bestFit="1" customWidth="1"/>
    <col min="11" max="11" width="58.140625" customWidth="1"/>
  </cols>
  <sheetData>
    <row r="1" spans="1:11">
      <c r="A1" s="59" t="s">
        <v>597</v>
      </c>
      <c r="B1" s="59" t="s">
        <v>598</v>
      </c>
      <c r="C1" s="59" t="s">
        <v>599</v>
      </c>
      <c r="J1" t="s">
        <v>600</v>
      </c>
    </row>
    <row r="2" spans="1:11">
      <c r="A2" s="1" t="s">
        <v>532</v>
      </c>
      <c r="B2" s="1" t="s">
        <v>601</v>
      </c>
      <c r="C2" s="1" t="s">
        <v>602</v>
      </c>
      <c r="D2" t="str">
        <f>B2&amp;"."&amp;C2</f>
        <v>persist_cardlink.cardlink_kb1dh028_ccixpt</v>
      </c>
      <c r="H2" t="b">
        <f>ISNUMBER(MATCH(D2,K:K,0))</f>
        <v>1</v>
      </c>
      <c r="J2" t="b">
        <f>ISNUMBER(MATCH(K2,D:D,0))</f>
        <v>0</v>
      </c>
      <c r="K2" s="13" t="s">
        <v>84</v>
      </c>
    </row>
    <row r="3" spans="1:11">
      <c r="A3" s="1" t="s">
        <v>533</v>
      </c>
      <c r="B3" s="1" t="s">
        <v>601</v>
      </c>
      <c r="C3" s="1" t="s">
        <v>603</v>
      </c>
      <c r="D3" t="str">
        <f>B3&amp;"."&amp;C3</f>
        <v>persist_cardlink.cardlink_kb1dh029_ccatabla</v>
      </c>
      <c r="H3" t="b">
        <f>ISNUMBER(MATCH(D3,K:K,0))</f>
        <v>1</v>
      </c>
      <c r="J3" t="b">
        <f>ISNUMBER(MATCH(K3,D:D,0))</f>
        <v>0</v>
      </c>
      <c r="K3" s="13" t="s">
        <v>89</v>
      </c>
    </row>
    <row r="4" spans="1:11">
      <c r="A4" s="1" t="s">
        <v>534</v>
      </c>
      <c r="B4" s="1" t="s">
        <v>601</v>
      </c>
      <c r="C4" s="1" t="s">
        <v>604</v>
      </c>
      <c r="D4" t="str">
        <f>B4&amp;"."&amp;C4</f>
        <v>persist_cardlink.cardlink_kb1dh030_cuptran</v>
      </c>
      <c r="H4" t="b">
        <f>ISNUMBER(MATCH(D4,K:K,0))</f>
        <v>1</v>
      </c>
      <c r="J4" t="b">
        <f>ISNUMBER(MATCH(K4,D:D,0))</f>
        <v>0</v>
      </c>
      <c r="K4" s="13" t="s">
        <v>91</v>
      </c>
    </row>
    <row r="5" spans="1:11">
      <c r="A5" s="1" t="s">
        <v>536</v>
      </c>
      <c r="B5" s="1" t="s">
        <v>601</v>
      </c>
      <c r="C5" s="1" t="s">
        <v>605</v>
      </c>
      <c r="D5" t="str">
        <f>B5&amp;"."&amp;C5</f>
        <v>persist_cardlink.cardlink_kb1dh001_cp1t170_01</v>
      </c>
      <c r="H5" t="b">
        <f>ISNUMBER(MATCH(D5,K:K,0))</f>
        <v>1</v>
      </c>
      <c r="J5" t="b">
        <f>ISNUMBER(MATCH(K5,D:D,0))</f>
        <v>0</v>
      </c>
      <c r="K5" s="13" t="s">
        <v>93</v>
      </c>
    </row>
    <row r="6" spans="1:11">
      <c r="A6" s="1" t="s">
        <v>539</v>
      </c>
      <c r="B6" s="1" t="s">
        <v>601</v>
      </c>
      <c r="C6" s="1" t="s">
        <v>606</v>
      </c>
      <c r="D6" t="str">
        <f>B6&amp;"."&amp;C6</f>
        <v>persist_cardlink.cardlink_kb1dh012_cpcah</v>
      </c>
      <c r="H6" t="b">
        <f>ISNUMBER(MATCH(D6,K:K,0))</f>
        <v>1</v>
      </c>
      <c r="J6" t="b">
        <f>ISNUMBER(MATCH(K6,D:D,0))</f>
        <v>0</v>
      </c>
      <c r="K6" s="13" t="s">
        <v>99</v>
      </c>
    </row>
    <row r="7" spans="1:11">
      <c r="A7" s="1" t="s">
        <v>541</v>
      </c>
      <c r="B7" s="1" t="s">
        <v>601</v>
      </c>
      <c r="C7" s="1" t="s">
        <v>607</v>
      </c>
      <c r="D7" t="str">
        <f>B7&amp;"."&amp;C7</f>
        <v>persist_cardlink.cardlink_kb1dh020_cc1d582d</v>
      </c>
      <c r="H7" t="b">
        <f>ISNUMBER(MATCH(D7,K:K,0))</f>
        <v>1</v>
      </c>
      <c r="J7" t="b">
        <f>ISNUMBER(MATCH(K7,D:D,0))</f>
        <v>0</v>
      </c>
      <c r="K7" s="13" t="s">
        <v>101</v>
      </c>
    </row>
    <row r="8" spans="1:11">
      <c r="A8" s="1" t="s">
        <v>542</v>
      </c>
      <c r="B8" s="1" t="s">
        <v>601</v>
      </c>
      <c r="C8" s="1" t="s">
        <v>608</v>
      </c>
      <c r="D8" t="str">
        <f>B8&amp;"."&amp;C8</f>
        <v>persist_cardlink.cardlink_kb1dh021_cc1d582s</v>
      </c>
      <c r="H8" t="b">
        <f>ISNUMBER(MATCH(D8,K:K,0))</f>
        <v>1</v>
      </c>
      <c r="J8" t="b">
        <f>ISNUMBER(MATCH(K8,D:D,0))</f>
        <v>0</v>
      </c>
      <c r="K8" s="13" t="s">
        <v>168</v>
      </c>
    </row>
    <row r="9" spans="1:11">
      <c r="A9" s="1" t="s">
        <v>543</v>
      </c>
      <c r="B9" s="1" t="s">
        <v>601</v>
      </c>
      <c r="C9" s="1" t="s">
        <v>609</v>
      </c>
      <c r="D9" t="str">
        <f>B9&amp;"."&amp;C9</f>
        <v>persist_cardlink.cardlink_kb1dh022_oadcc32</v>
      </c>
      <c r="H9" t="b">
        <f>ISNUMBER(MATCH(D9,K:K,0))</f>
        <v>1</v>
      </c>
      <c r="J9" t="b">
        <f>ISNUMBER(MATCH(K9,D:D,0))</f>
        <v>0</v>
      </c>
      <c r="K9" s="13" t="s">
        <v>172</v>
      </c>
    </row>
    <row r="10" spans="1:11">
      <c r="A10" s="1" t="s">
        <v>544</v>
      </c>
      <c r="B10" s="1" t="s">
        <v>601</v>
      </c>
      <c r="C10" s="1" t="s">
        <v>610</v>
      </c>
      <c r="D10" t="str">
        <f>B10&amp;"."&amp;C10</f>
        <v>persist_cardlink.cardlink_kb1dh024_cc1d560</v>
      </c>
      <c r="H10" t="b">
        <f>ISNUMBER(MATCH(D10,K:K,0))</f>
        <v>1</v>
      </c>
      <c r="J10" t="b">
        <f>ISNUMBER(MATCH(K10,D:D,0))</f>
        <v>0</v>
      </c>
      <c r="K10" s="13" t="s">
        <v>176</v>
      </c>
    </row>
    <row r="11" spans="1:11">
      <c r="A11" s="1" t="s">
        <v>546</v>
      </c>
      <c r="B11" s="1" t="s">
        <v>601</v>
      </c>
      <c r="C11" s="1" t="s">
        <v>611</v>
      </c>
      <c r="D11" t="str">
        <f>B11&amp;"."&amp;C11</f>
        <v>persist_cardlink.cardlink_kb1dh032_addtype</v>
      </c>
      <c r="H11" t="b">
        <f>ISNUMBER(MATCH(D11,K:K,0))</f>
        <v>1</v>
      </c>
      <c r="J11" t="b">
        <f>ISNUMBER(MATCH(K11,D:D,0))</f>
        <v>0</v>
      </c>
      <c r="K11" s="13" t="s">
        <v>177</v>
      </c>
    </row>
    <row r="12" spans="1:11">
      <c r="A12" s="1" t="s">
        <v>547</v>
      </c>
      <c r="B12" s="1" t="s">
        <v>601</v>
      </c>
      <c r="C12" s="1" t="s">
        <v>612</v>
      </c>
      <c r="D12" t="str">
        <f>B12&amp;"."&amp;C12</f>
        <v>persist_cardlink.cardlink_la10s_oatkn</v>
      </c>
      <c r="H12" t="b">
        <f>ISNUMBER(MATCH(D12,K:K,0))</f>
        <v>1</v>
      </c>
      <c r="J12" t="b">
        <f>ISNUMBER(MATCH(K12,D:D,0))</f>
        <v>0</v>
      </c>
      <c r="K12" s="13" t="s">
        <v>182</v>
      </c>
    </row>
    <row r="13" spans="1:11">
      <c r="A13" s="1" t="s">
        <v>536</v>
      </c>
      <c r="B13" s="1" t="s">
        <v>601</v>
      </c>
      <c r="C13" s="1" t="s">
        <v>613</v>
      </c>
      <c r="D13" s="51" t="str">
        <f>B13&amp;"."&amp;C13</f>
        <v>persist_cardlink.cardlink_kb1dh001_cp1t170_02</v>
      </c>
      <c r="E13" s="51"/>
      <c r="F13" s="51"/>
      <c r="G13" s="51"/>
      <c r="H13" s="51" t="b">
        <f>ISNUMBER(MATCH(D13,K:K,0))</f>
        <v>0</v>
      </c>
      <c r="J13" t="b">
        <f>ISNUMBER(MATCH(K13,D:D,0))</f>
        <v>0</v>
      </c>
      <c r="K13" s="13" t="s">
        <v>185</v>
      </c>
    </row>
    <row r="14" spans="1:11">
      <c r="A14" s="1" t="s">
        <v>614</v>
      </c>
      <c r="B14" s="1" t="s">
        <v>601</v>
      </c>
      <c r="C14" s="1" t="s">
        <v>615</v>
      </c>
      <c r="D14" s="61" t="str">
        <f>B14&amp;"."&amp;C14</f>
        <v>persist_cardlink.cardlink_kb1dh004_cpbmer</v>
      </c>
      <c r="E14" s="51"/>
      <c r="F14" s="51"/>
      <c r="G14" s="51"/>
      <c r="H14" s="51" t="b">
        <f>ISNUMBER(MATCH(D14,K:K,0))</f>
        <v>0</v>
      </c>
      <c r="J14" t="b">
        <f>ISNUMBER(MATCH(K14,D:D,0))</f>
        <v>0</v>
      </c>
      <c r="K14" s="13" t="s">
        <v>187</v>
      </c>
    </row>
    <row r="15" spans="1:11">
      <c r="A15" s="1" t="s">
        <v>616</v>
      </c>
      <c r="B15" s="1" t="s">
        <v>601</v>
      </c>
      <c r="C15" s="1" t="s">
        <v>617</v>
      </c>
      <c r="D15" s="61" t="str">
        <f>B15&amp;"."&amp;C15</f>
        <v>persist_cardlink.cardlink_kb1dh009_kbbmer</v>
      </c>
      <c r="E15" s="51"/>
      <c r="F15" s="51"/>
      <c r="G15" s="51"/>
      <c r="H15" s="51" t="b">
        <f>ISNUMBER(MATCH(D15,K:K,0))</f>
        <v>0</v>
      </c>
      <c r="J15" t="b">
        <f>ISNUMBER(MATCH(K15,D:D,0))</f>
        <v>0</v>
      </c>
      <c r="K15" s="13" t="s">
        <v>202</v>
      </c>
    </row>
    <row r="16" spans="1:11">
      <c r="A16" s="1" t="s">
        <v>618</v>
      </c>
      <c r="B16" s="1" t="s">
        <v>601</v>
      </c>
      <c r="C16" s="1" t="s">
        <v>619</v>
      </c>
      <c r="D16" s="61" t="str">
        <f>B16&amp;"."&amp;C16</f>
        <v>persist_cardlink.cardlink_kb1dh010_oadctf</v>
      </c>
      <c r="E16" s="51"/>
      <c r="F16" s="51"/>
      <c r="G16" s="51"/>
      <c r="H16" s="51" t="b">
        <f>ISNUMBER(MATCH(D16,K:K,0))</f>
        <v>0</v>
      </c>
      <c r="J16" t="b">
        <f>ISNUMBER(MATCH(K16,D:D,0))</f>
        <v>1</v>
      </c>
      <c r="K16" s="60" t="s">
        <v>204</v>
      </c>
    </row>
    <row r="17" spans="10:11">
      <c r="J17" t="b">
        <f t="shared" ref="J3:J32" si="0">ISNUMBER(MATCH(K17,D:D,0))</f>
        <v>1</v>
      </c>
      <c r="K17" s="60" t="s">
        <v>207</v>
      </c>
    </row>
    <row r="18" spans="10:11">
      <c r="J18" t="b">
        <f t="shared" si="0"/>
        <v>1</v>
      </c>
      <c r="K18" s="60" t="s">
        <v>208</v>
      </c>
    </row>
    <row r="19" spans="10:11">
      <c r="J19" t="b">
        <f t="shared" si="0"/>
        <v>0</v>
      </c>
      <c r="K19" s="13" t="s">
        <v>209</v>
      </c>
    </row>
    <row r="20" spans="10:11">
      <c r="J20" t="b">
        <f t="shared" si="0"/>
        <v>0</v>
      </c>
      <c r="K20" s="13" t="s">
        <v>210</v>
      </c>
    </row>
    <row r="21" spans="10:11">
      <c r="J21" t="b">
        <f t="shared" si="0"/>
        <v>1</v>
      </c>
      <c r="K21" s="60" t="s">
        <v>213</v>
      </c>
    </row>
    <row r="22" spans="10:11">
      <c r="J22" t="b">
        <f t="shared" si="0"/>
        <v>1</v>
      </c>
      <c r="K22" s="60" t="s">
        <v>214</v>
      </c>
    </row>
    <row r="23" spans="10:11">
      <c r="J23" t="b">
        <f t="shared" si="0"/>
        <v>1</v>
      </c>
      <c r="K23" s="60" t="s">
        <v>215</v>
      </c>
    </row>
    <row r="24" spans="10:11">
      <c r="J24" t="b">
        <f t="shared" si="0"/>
        <v>1</v>
      </c>
      <c r="K24" s="60" t="s">
        <v>216</v>
      </c>
    </row>
    <row r="25" spans="10:11">
      <c r="J25" t="b">
        <f t="shared" si="0"/>
        <v>1</v>
      </c>
      <c r="K25" s="60" t="s">
        <v>217</v>
      </c>
    </row>
    <row r="26" spans="10:11">
      <c r="J26" t="b">
        <f t="shared" si="0"/>
        <v>1</v>
      </c>
      <c r="K26" s="60" t="s">
        <v>218</v>
      </c>
    </row>
    <row r="27" spans="10:11">
      <c r="J27" t="b">
        <f t="shared" si="0"/>
        <v>1</v>
      </c>
      <c r="K27" s="60" t="s">
        <v>219</v>
      </c>
    </row>
    <row r="28" spans="10:11">
      <c r="J28" t="b">
        <f t="shared" si="0"/>
        <v>1</v>
      </c>
      <c r="K28" s="60" t="s">
        <v>220</v>
      </c>
    </row>
    <row r="29" spans="10:11">
      <c r="J29" t="b">
        <f t="shared" si="0"/>
        <v>0</v>
      </c>
      <c r="K29" s="13" t="s">
        <v>221</v>
      </c>
    </row>
    <row r="30" spans="10:11">
      <c r="J30" t="b">
        <f t="shared" si="0"/>
        <v>0</v>
      </c>
      <c r="K30" s="13" t="s">
        <v>231</v>
      </c>
    </row>
    <row r="31" spans="10:11">
      <c r="J31" t="b">
        <f t="shared" si="0"/>
        <v>0</v>
      </c>
      <c r="K31" s="13" t="s">
        <v>233</v>
      </c>
    </row>
    <row r="32" spans="10:11">
      <c r="J32" t="b">
        <f t="shared" si="0"/>
        <v>0</v>
      </c>
      <c r="K32" s="13" t="s">
        <v>235</v>
      </c>
    </row>
  </sheetData>
  <autoFilter ref="A1:K1" xr:uid="{EB865708-8FB5-48BB-9824-DB20A27C0386}"/>
  <conditionalFormatting sqref="A1:A1048576">
    <cfRule type="duplicateValues" dxfId="293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F4DF-53DF-40BD-B0EA-7693AA4B8BFC}">
  <sheetPr>
    <tabColor rgb="FFFFC000"/>
  </sheetPr>
  <dimension ref="A1:P692"/>
  <sheetViews>
    <sheetView showGridLines="0" topLeftCell="A100" workbookViewId="0">
      <selection activeCell="B127" sqref="B127"/>
    </sheetView>
  </sheetViews>
  <sheetFormatPr defaultRowHeight="15"/>
  <cols>
    <col min="1" max="1" width="33.5703125" style="81" customWidth="1"/>
    <col min="2" max="2" width="37" style="81" customWidth="1"/>
    <col min="3" max="3" width="18" style="100" customWidth="1"/>
    <col min="4" max="4" width="19.28515625" style="85" customWidth="1"/>
    <col min="5" max="5" width="17.7109375" style="81" customWidth="1"/>
    <col min="6" max="6" width="20.140625" style="81" customWidth="1"/>
    <col min="7" max="7" width="51.42578125" style="84" customWidth="1"/>
    <col min="8" max="8" width="9.140625" style="81"/>
    <col min="9" max="9" width="10.5703125" style="81" customWidth="1"/>
    <col min="10" max="10" width="9.140625" style="81"/>
    <col min="11" max="11" width="11.7109375" style="81" bestFit="1" customWidth="1"/>
    <col min="12" max="12" width="37.140625" style="81" bestFit="1" customWidth="1"/>
    <col min="13" max="13" width="20" style="81" bestFit="1" customWidth="1"/>
    <col min="14" max="14" width="11.28515625" style="81" bestFit="1" customWidth="1"/>
    <col min="15" max="15" width="7.85546875" style="81" bestFit="1" customWidth="1"/>
    <col min="16" max="16" width="11.7109375" style="81" bestFit="1" customWidth="1"/>
    <col min="17" max="16384" width="9.140625" style="81"/>
  </cols>
  <sheetData>
    <row r="1" spans="1:16">
      <c r="A1" s="88" t="s">
        <v>2</v>
      </c>
      <c r="B1" s="88" t="s">
        <v>426</v>
      </c>
      <c r="C1" s="97" t="s">
        <v>620</v>
      </c>
      <c r="D1" s="89" t="s">
        <v>621</v>
      </c>
      <c r="E1" s="88" t="s">
        <v>622</v>
      </c>
      <c r="F1" s="88" t="s">
        <v>623</v>
      </c>
      <c r="G1" s="88" t="s">
        <v>624</v>
      </c>
      <c r="I1" s="81" t="s">
        <v>625</v>
      </c>
    </row>
    <row r="2" spans="1:16">
      <c r="A2" s="90" t="s">
        <v>427</v>
      </c>
      <c r="B2" s="91" t="s">
        <v>626</v>
      </c>
      <c r="C2" s="98">
        <v>45376</v>
      </c>
      <c r="D2" s="92" t="s">
        <v>10</v>
      </c>
      <c r="E2" s="92" t="s">
        <v>10</v>
      </c>
      <c r="F2" s="92"/>
      <c r="G2" s="8"/>
      <c r="I2" s="81" t="s">
        <v>10</v>
      </c>
      <c r="L2" s="82" t="s">
        <v>627</v>
      </c>
      <c r="M2" s="82" t="s">
        <v>622</v>
      </c>
      <c r="N2" s="82"/>
      <c r="O2" s="82"/>
      <c r="P2" s="82"/>
    </row>
    <row r="3" spans="1:16">
      <c r="A3" s="90" t="s">
        <v>427</v>
      </c>
      <c r="B3" s="91" t="s">
        <v>628</v>
      </c>
      <c r="C3" s="98">
        <v>45376</v>
      </c>
      <c r="D3" s="92" t="s">
        <v>10</v>
      </c>
      <c r="E3" s="92" t="s">
        <v>10</v>
      </c>
      <c r="F3" s="92"/>
      <c r="G3" s="8"/>
      <c r="I3" s="81" t="s">
        <v>21</v>
      </c>
      <c r="L3" s="82" t="s">
        <v>2</v>
      </c>
      <c r="M3" s="82" t="s">
        <v>21</v>
      </c>
      <c r="N3" s="82" t="s">
        <v>625</v>
      </c>
      <c r="O3" s="82" t="s">
        <v>10</v>
      </c>
      <c r="P3" s="82" t="s">
        <v>354</v>
      </c>
    </row>
    <row r="4" spans="1:16">
      <c r="A4" s="90" t="s">
        <v>427</v>
      </c>
      <c r="B4" s="91" t="s">
        <v>629</v>
      </c>
      <c r="C4" s="98">
        <v>45376</v>
      </c>
      <c r="D4" s="92" t="s">
        <v>10</v>
      </c>
      <c r="E4" s="92" t="s">
        <v>10</v>
      </c>
      <c r="F4" s="92"/>
      <c r="G4" s="8"/>
      <c r="L4" s="82" t="s">
        <v>477</v>
      </c>
      <c r="M4" s="82"/>
      <c r="N4" s="82"/>
      <c r="O4" s="82">
        <v>4</v>
      </c>
      <c r="P4" s="82">
        <v>4</v>
      </c>
    </row>
    <row r="5" spans="1:16">
      <c r="A5" s="90" t="s">
        <v>427</v>
      </c>
      <c r="B5" s="91" t="s">
        <v>630</v>
      </c>
      <c r="C5" s="98">
        <v>45376</v>
      </c>
      <c r="D5" s="92" t="s">
        <v>10</v>
      </c>
      <c r="E5" s="92" t="s">
        <v>10</v>
      </c>
      <c r="F5" s="92"/>
      <c r="G5" s="8"/>
      <c r="L5" s="82" t="s">
        <v>427</v>
      </c>
      <c r="M5" s="82"/>
      <c r="N5" s="82"/>
      <c r="O5" s="82">
        <v>17</v>
      </c>
      <c r="P5" s="82">
        <v>17</v>
      </c>
    </row>
    <row r="6" spans="1:16">
      <c r="A6" s="90" t="s">
        <v>427</v>
      </c>
      <c r="B6" s="91" t="s">
        <v>631</v>
      </c>
      <c r="C6" s="98">
        <v>45376</v>
      </c>
      <c r="D6" s="92" t="s">
        <v>10</v>
      </c>
      <c r="E6" s="92" t="s">
        <v>10</v>
      </c>
      <c r="F6" s="92"/>
      <c r="G6" s="8"/>
      <c r="L6" s="82" t="s">
        <v>445</v>
      </c>
      <c r="M6" s="82">
        <v>3</v>
      </c>
      <c r="N6" s="82"/>
      <c r="O6" s="82">
        <v>14</v>
      </c>
      <c r="P6" s="82">
        <v>17</v>
      </c>
    </row>
    <row r="7" spans="1:16">
      <c r="A7" s="90" t="s">
        <v>427</v>
      </c>
      <c r="B7" s="91" t="s">
        <v>632</v>
      </c>
      <c r="C7" s="98">
        <v>45376</v>
      </c>
      <c r="D7" s="92" t="s">
        <v>10</v>
      </c>
      <c r="E7" s="92" t="s">
        <v>10</v>
      </c>
      <c r="F7" s="92"/>
      <c r="G7" s="8"/>
      <c r="L7" s="82" t="s">
        <v>261</v>
      </c>
      <c r="M7" s="82"/>
      <c r="N7" s="82"/>
      <c r="O7" s="82">
        <v>1</v>
      </c>
      <c r="P7" s="82">
        <v>1</v>
      </c>
    </row>
    <row r="8" spans="1:16">
      <c r="A8" s="90" t="s">
        <v>427</v>
      </c>
      <c r="B8" s="91" t="s">
        <v>633</v>
      </c>
      <c r="C8" s="98">
        <v>45376</v>
      </c>
      <c r="D8" s="92" t="s">
        <v>10</v>
      </c>
      <c r="E8" s="92" t="s">
        <v>10</v>
      </c>
      <c r="F8" s="92"/>
      <c r="G8" s="8"/>
      <c r="L8" s="82" t="s">
        <v>55</v>
      </c>
      <c r="M8" s="82"/>
      <c r="N8" s="82">
        <v>4</v>
      </c>
      <c r="O8" s="82">
        <v>2</v>
      </c>
      <c r="P8" s="82">
        <v>6</v>
      </c>
    </row>
    <row r="9" spans="1:16">
      <c r="A9" s="90" t="s">
        <v>427</v>
      </c>
      <c r="B9" s="91" t="s">
        <v>634</v>
      </c>
      <c r="C9" s="98">
        <v>45376</v>
      </c>
      <c r="D9" s="92" t="s">
        <v>10</v>
      </c>
      <c r="E9" s="92" t="s">
        <v>10</v>
      </c>
      <c r="F9" s="92"/>
      <c r="G9" s="8"/>
      <c r="L9" s="82" t="s">
        <v>635</v>
      </c>
      <c r="M9" s="82">
        <v>2</v>
      </c>
      <c r="N9" s="82">
        <v>8</v>
      </c>
      <c r="O9" s="82"/>
      <c r="P9" s="82">
        <v>10</v>
      </c>
    </row>
    <row r="10" spans="1:16">
      <c r="A10" s="90" t="s">
        <v>427</v>
      </c>
      <c r="B10" s="91" t="s">
        <v>636</v>
      </c>
      <c r="C10" s="98">
        <v>45376</v>
      </c>
      <c r="D10" s="92" t="s">
        <v>10</v>
      </c>
      <c r="E10" s="92" t="s">
        <v>10</v>
      </c>
      <c r="F10" s="92"/>
      <c r="G10" s="8"/>
      <c r="L10" s="82" t="s">
        <v>129</v>
      </c>
      <c r="M10" s="82"/>
      <c r="N10" s="82">
        <v>1</v>
      </c>
      <c r="O10" s="82">
        <v>8</v>
      </c>
      <c r="P10" s="82">
        <v>9</v>
      </c>
    </row>
    <row r="11" spans="1:16">
      <c r="A11" s="90" t="s">
        <v>427</v>
      </c>
      <c r="B11" s="91" t="s">
        <v>637</v>
      </c>
      <c r="C11" s="98">
        <v>45376</v>
      </c>
      <c r="D11" s="92" t="s">
        <v>10</v>
      </c>
      <c r="E11" s="92" t="s">
        <v>10</v>
      </c>
      <c r="F11" s="92"/>
      <c r="G11" s="8"/>
      <c r="L11" s="82" t="s">
        <v>133</v>
      </c>
      <c r="M11" s="82"/>
      <c r="N11" s="82">
        <v>8</v>
      </c>
      <c r="O11" s="82">
        <v>3</v>
      </c>
      <c r="P11" s="82">
        <v>11</v>
      </c>
    </row>
    <row r="12" spans="1:16">
      <c r="A12" s="90" t="s">
        <v>427</v>
      </c>
      <c r="B12" s="91" t="s">
        <v>638</v>
      </c>
      <c r="C12" s="98">
        <v>45376</v>
      </c>
      <c r="D12" s="92" t="s">
        <v>10</v>
      </c>
      <c r="E12" s="92" t="s">
        <v>10</v>
      </c>
      <c r="F12" s="92"/>
      <c r="G12" s="8"/>
      <c r="L12" s="82" t="s">
        <v>77</v>
      </c>
      <c r="M12" s="82"/>
      <c r="N12" s="82">
        <v>7</v>
      </c>
      <c r="O12" s="82">
        <v>2</v>
      </c>
      <c r="P12" s="82">
        <v>9</v>
      </c>
    </row>
    <row r="13" spans="1:16">
      <c r="A13" s="90" t="s">
        <v>427</v>
      </c>
      <c r="B13" s="91" t="s">
        <v>639</v>
      </c>
      <c r="C13" s="98">
        <v>45376</v>
      </c>
      <c r="D13" s="92" t="s">
        <v>10</v>
      </c>
      <c r="E13" s="92" t="s">
        <v>10</v>
      </c>
      <c r="F13" s="92"/>
      <c r="G13" s="8"/>
      <c r="L13" s="82" t="s">
        <v>463</v>
      </c>
      <c r="M13" s="82"/>
      <c r="N13" s="82"/>
      <c r="O13" s="82">
        <v>12</v>
      </c>
      <c r="P13" s="82">
        <v>12</v>
      </c>
    </row>
    <row r="14" spans="1:16">
      <c r="A14" s="90" t="s">
        <v>427</v>
      </c>
      <c r="B14" s="91" t="s">
        <v>640</v>
      </c>
      <c r="C14" s="98">
        <v>45376</v>
      </c>
      <c r="D14" s="92" t="s">
        <v>10</v>
      </c>
      <c r="E14" s="92" t="s">
        <v>10</v>
      </c>
      <c r="F14" s="92"/>
      <c r="G14" s="8"/>
      <c r="L14" s="82" t="s">
        <v>323</v>
      </c>
      <c r="M14" s="82">
        <v>1</v>
      </c>
      <c r="N14" s="82"/>
      <c r="O14" s="82"/>
      <c r="P14" s="82">
        <v>1</v>
      </c>
    </row>
    <row r="15" spans="1:16">
      <c r="A15" s="90" t="s">
        <v>427</v>
      </c>
      <c r="B15" s="91" t="s">
        <v>641</v>
      </c>
      <c r="C15" s="98">
        <v>45376</v>
      </c>
      <c r="D15" s="92" t="s">
        <v>10</v>
      </c>
      <c r="E15" s="92" t="s">
        <v>10</v>
      </c>
      <c r="F15" s="92"/>
      <c r="G15" s="8"/>
      <c r="L15" s="82" t="s">
        <v>642</v>
      </c>
      <c r="M15" s="82"/>
      <c r="N15" s="82">
        <v>1</v>
      </c>
      <c r="O15" s="82"/>
      <c r="P15" s="82">
        <v>1</v>
      </c>
    </row>
    <row r="16" spans="1:16">
      <c r="A16" s="90" t="s">
        <v>427</v>
      </c>
      <c r="B16" s="91" t="s">
        <v>643</v>
      </c>
      <c r="C16" s="98">
        <v>45376</v>
      </c>
      <c r="D16" s="92" t="s">
        <v>10</v>
      </c>
      <c r="E16" s="92" t="s">
        <v>10</v>
      </c>
      <c r="F16" s="92"/>
      <c r="G16" s="8"/>
      <c r="L16" s="82" t="s">
        <v>83</v>
      </c>
      <c r="M16" s="82">
        <v>1</v>
      </c>
      <c r="N16" s="82">
        <v>34</v>
      </c>
      <c r="O16" s="82"/>
      <c r="P16" s="82">
        <v>35</v>
      </c>
    </row>
    <row r="17" spans="1:16">
      <c r="A17" s="90" t="s">
        <v>427</v>
      </c>
      <c r="B17" s="91" t="s">
        <v>644</v>
      </c>
      <c r="C17" s="98">
        <v>45376</v>
      </c>
      <c r="D17" s="92" t="s">
        <v>10</v>
      </c>
      <c r="E17" s="92" t="s">
        <v>10</v>
      </c>
      <c r="F17" s="92"/>
      <c r="G17" s="8"/>
      <c r="L17" s="82" t="s">
        <v>250</v>
      </c>
      <c r="M17" s="82">
        <v>2</v>
      </c>
      <c r="N17" s="82"/>
      <c r="O17" s="82">
        <v>1</v>
      </c>
      <c r="P17" s="82">
        <v>3</v>
      </c>
    </row>
    <row r="18" spans="1:16">
      <c r="A18" s="90" t="s">
        <v>427</v>
      </c>
      <c r="B18" s="91" t="s">
        <v>645</v>
      </c>
      <c r="C18" s="98">
        <v>45376</v>
      </c>
      <c r="D18" s="92" t="s">
        <v>10</v>
      </c>
      <c r="E18" s="92" t="s">
        <v>10</v>
      </c>
      <c r="F18" s="92"/>
      <c r="G18" s="8"/>
      <c r="L18" s="82" t="s">
        <v>268</v>
      </c>
      <c r="M18" s="82"/>
      <c r="N18" s="82"/>
      <c r="O18" s="82">
        <v>1</v>
      </c>
      <c r="P18" s="82">
        <v>1</v>
      </c>
    </row>
    <row r="19" spans="1:16">
      <c r="A19" s="90" t="s">
        <v>445</v>
      </c>
      <c r="B19" s="91" t="s">
        <v>646</v>
      </c>
      <c r="C19" s="98">
        <v>45376</v>
      </c>
      <c r="D19" s="92" t="s">
        <v>10</v>
      </c>
      <c r="E19" s="92" t="s">
        <v>10</v>
      </c>
      <c r="F19" s="92"/>
      <c r="G19" s="8"/>
      <c r="L19" s="82" t="s">
        <v>647</v>
      </c>
      <c r="M19" s="82"/>
      <c r="N19" s="82">
        <v>1</v>
      </c>
      <c r="O19" s="82"/>
      <c r="P19" s="82">
        <v>1</v>
      </c>
    </row>
    <row r="20" spans="1:16">
      <c r="A20" s="90" t="s">
        <v>445</v>
      </c>
      <c r="B20" s="91" t="s">
        <v>648</v>
      </c>
      <c r="C20" s="98">
        <v>45376</v>
      </c>
      <c r="D20" s="92" t="s">
        <v>10</v>
      </c>
      <c r="E20" s="92" t="s">
        <v>10</v>
      </c>
      <c r="F20" s="92"/>
      <c r="G20" s="8"/>
      <c r="L20" s="82" t="s">
        <v>195</v>
      </c>
      <c r="M20" s="82"/>
      <c r="N20" s="82"/>
      <c r="O20" s="82">
        <v>1</v>
      </c>
      <c r="P20" s="82">
        <v>1</v>
      </c>
    </row>
    <row r="21" spans="1:16">
      <c r="A21" s="90" t="s">
        <v>445</v>
      </c>
      <c r="B21" s="91" t="s">
        <v>649</v>
      </c>
      <c r="C21" s="98">
        <v>45376</v>
      </c>
      <c r="D21" s="92" t="s">
        <v>10</v>
      </c>
      <c r="E21" s="92" t="s">
        <v>10</v>
      </c>
      <c r="F21" s="92"/>
      <c r="G21" s="8"/>
      <c r="K21"/>
      <c r="L21" s="82" t="s">
        <v>63</v>
      </c>
      <c r="M21" s="82"/>
      <c r="N21" s="82">
        <v>3</v>
      </c>
      <c r="O21" s="82">
        <v>4</v>
      </c>
      <c r="P21" s="82">
        <v>7</v>
      </c>
    </row>
    <row r="22" spans="1:16">
      <c r="A22" s="90" t="s">
        <v>445</v>
      </c>
      <c r="B22" s="91" t="s">
        <v>650</v>
      </c>
      <c r="C22" s="98">
        <v>45376</v>
      </c>
      <c r="D22" s="92" t="s">
        <v>10</v>
      </c>
      <c r="E22" s="92" t="s">
        <v>10</v>
      </c>
      <c r="F22" s="92"/>
      <c r="G22" s="8"/>
      <c r="K22"/>
      <c r="L22" s="82" t="s">
        <v>8</v>
      </c>
      <c r="M22" s="82"/>
      <c r="N22" s="82">
        <v>3</v>
      </c>
      <c r="O22" s="82">
        <v>5</v>
      </c>
      <c r="P22" s="82">
        <v>8</v>
      </c>
    </row>
    <row r="23" spans="1:16" ht="144.75">
      <c r="A23" s="90" t="s">
        <v>445</v>
      </c>
      <c r="B23" s="91" t="s">
        <v>651</v>
      </c>
      <c r="C23" s="98">
        <v>45376</v>
      </c>
      <c r="D23" s="92" t="s">
        <v>10</v>
      </c>
      <c r="E23" s="92" t="s">
        <v>21</v>
      </c>
      <c r="F23" s="8" t="s">
        <v>652</v>
      </c>
      <c r="G23" s="8" t="s">
        <v>653</v>
      </c>
      <c r="K23"/>
      <c r="L23" s="82" t="s">
        <v>17</v>
      </c>
      <c r="M23" s="82"/>
      <c r="N23" s="82">
        <v>3</v>
      </c>
      <c r="O23" s="82">
        <v>6</v>
      </c>
      <c r="P23" s="82">
        <v>9</v>
      </c>
    </row>
    <row r="24" spans="1:16" ht="144.75">
      <c r="A24" s="90" t="s">
        <v>445</v>
      </c>
      <c r="B24" s="91" t="s">
        <v>654</v>
      </c>
      <c r="C24" s="98">
        <v>45376</v>
      </c>
      <c r="D24" s="92" t="s">
        <v>10</v>
      </c>
      <c r="E24" s="92" t="s">
        <v>21</v>
      </c>
      <c r="F24" s="8" t="s">
        <v>655</v>
      </c>
      <c r="G24" s="8" t="s">
        <v>653</v>
      </c>
      <c r="K24"/>
      <c r="L24" s="82" t="s">
        <v>31</v>
      </c>
      <c r="M24" s="82"/>
      <c r="N24" s="82">
        <v>10</v>
      </c>
      <c r="O24" s="82">
        <v>1</v>
      </c>
      <c r="P24" s="82">
        <v>11</v>
      </c>
    </row>
    <row r="25" spans="1:16" ht="130.5">
      <c r="A25" s="90" t="s">
        <v>445</v>
      </c>
      <c r="B25" s="91" t="s">
        <v>656</v>
      </c>
      <c r="C25" s="98">
        <v>45376</v>
      </c>
      <c r="D25" s="92" t="s">
        <v>10</v>
      </c>
      <c r="E25" s="92" t="s">
        <v>21</v>
      </c>
      <c r="F25" s="8" t="s">
        <v>657</v>
      </c>
      <c r="G25" s="8" t="s">
        <v>653</v>
      </c>
      <c r="K25"/>
      <c r="L25" s="82" t="s">
        <v>125</v>
      </c>
      <c r="M25" s="82"/>
      <c r="N25" s="82">
        <v>3</v>
      </c>
      <c r="O25" s="82"/>
      <c r="P25" s="82">
        <v>3</v>
      </c>
    </row>
    <row r="26" spans="1:16">
      <c r="A26" s="90" t="s">
        <v>445</v>
      </c>
      <c r="B26" s="91" t="s">
        <v>658</v>
      </c>
      <c r="C26" s="98">
        <v>45376</v>
      </c>
      <c r="D26" s="92" t="s">
        <v>10</v>
      </c>
      <c r="E26" s="92" t="s">
        <v>10</v>
      </c>
      <c r="F26" s="92"/>
      <c r="G26" s="8"/>
      <c r="K26"/>
      <c r="L26" s="82" t="s">
        <v>71</v>
      </c>
      <c r="M26" s="82"/>
      <c r="N26" s="82">
        <v>2</v>
      </c>
      <c r="O26" s="82"/>
      <c r="P26" s="82">
        <v>2</v>
      </c>
    </row>
    <row r="27" spans="1:16">
      <c r="A27" s="90" t="s">
        <v>445</v>
      </c>
      <c r="B27" s="91" t="s">
        <v>659</v>
      </c>
      <c r="C27" s="98">
        <v>45376</v>
      </c>
      <c r="D27" s="92" t="s">
        <v>10</v>
      </c>
      <c r="E27" s="92" t="s">
        <v>10</v>
      </c>
      <c r="F27" s="92"/>
      <c r="G27" s="8"/>
      <c r="K27"/>
      <c r="L27" s="82" t="s">
        <v>189</v>
      </c>
      <c r="M27" s="82"/>
      <c r="N27" s="82">
        <v>1</v>
      </c>
      <c r="O27" s="82"/>
      <c r="P27" s="82">
        <v>1</v>
      </c>
    </row>
    <row r="28" spans="1:16">
      <c r="A28" s="90" t="s">
        <v>445</v>
      </c>
      <c r="B28" s="91" t="s">
        <v>660</v>
      </c>
      <c r="C28" s="98">
        <v>45376</v>
      </c>
      <c r="D28" s="92" t="s">
        <v>10</v>
      </c>
      <c r="E28" s="92" t="s">
        <v>10</v>
      </c>
      <c r="F28" s="92"/>
      <c r="G28" s="8"/>
      <c r="K28"/>
      <c r="L28" s="82" t="s">
        <v>354</v>
      </c>
      <c r="M28" s="82">
        <v>9</v>
      </c>
      <c r="N28" s="82">
        <v>89</v>
      </c>
      <c r="O28" s="83">
        <v>82</v>
      </c>
      <c r="P28" s="82">
        <v>180</v>
      </c>
    </row>
    <row r="29" spans="1:16">
      <c r="A29" s="90" t="s">
        <v>445</v>
      </c>
      <c r="B29" s="91" t="s">
        <v>661</v>
      </c>
      <c r="C29" s="98">
        <v>45376</v>
      </c>
      <c r="D29" s="92" t="s">
        <v>10</v>
      </c>
      <c r="E29" s="92" t="s">
        <v>10</v>
      </c>
      <c r="F29" s="92"/>
      <c r="G29" s="8"/>
      <c r="K29"/>
      <c r="L29"/>
      <c r="M29"/>
      <c r="N29"/>
      <c r="O29"/>
      <c r="P29"/>
    </row>
    <row r="30" spans="1:16">
      <c r="A30" s="90" t="s">
        <v>445</v>
      </c>
      <c r="B30" s="91" t="s">
        <v>662</v>
      </c>
      <c r="C30" s="98">
        <v>45376</v>
      </c>
      <c r="D30" s="92" t="s">
        <v>10</v>
      </c>
      <c r="E30" s="92" t="s">
        <v>10</v>
      </c>
      <c r="F30" s="92"/>
      <c r="G30" s="8"/>
      <c r="K30"/>
      <c r="L30"/>
      <c r="M30"/>
      <c r="N30"/>
      <c r="O30"/>
      <c r="P30"/>
    </row>
    <row r="31" spans="1:16">
      <c r="A31" s="90" t="s">
        <v>445</v>
      </c>
      <c r="B31" s="91" t="s">
        <v>663</v>
      </c>
      <c r="C31" s="98">
        <v>45376</v>
      </c>
      <c r="D31" s="92" t="s">
        <v>10</v>
      </c>
      <c r="E31" s="92" t="s">
        <v>10</v>
      </c>
      <c r="F31" s="92"/>
      <c r="G31" s="8"/>
      <c r="K31"/>
      <c r="L31"/>
      <c r="M31"/>
      <c r="N31"/>
      <c r="O31"/>
      <c r="P31"/>
    </row>
    <row r="32" spans="1:16">
      <c r="A32" s="90" t="s">
        <v>445</v>
      </c>
      <c r="B32" s="91" t="s">
        <v>664</v>
      </c>
      <c r="C32" s="98">
        <v>45376</v>
      </c>
      <c r="D32" s="92" t="s">
        <v>10</v>
      </c>
      <c r="E32" s="92" t="s">
        <v>10</v>
      </c>
      <c r="F32" s="92"/>
      <c r="G32" s="8"/>
      <c r="K32"/>
      <c r="L32"/>
      <c r="M32"/>
      <c r="N32"/>
      <c r="O32"/>
      <c r="P32"/>
    </row>
    <row r="33" spans="1:16">
      <c r="A33" s="90" t="s">
        <v>445</v>
      </c>
      <c r="B33" s="91" t="s">
        <v>665</v>
      </c>
      <c r="C33" s="98">
        <v>45376</v>
      </c>
      <c r="D33" s="92" t="s">
        <v>10</v>
      </c>
      <c r="E33" s="92" t="s">
        <v>10</v>
      </c>
      <c r="F33" s="92"/>
      <c r="G33" s="8"/>
      <c r="K33"/>
      <c r="L33"/>
      <c r="M33"/>
      <c r="N33"/>
      <c r="O33"/>
      <c r="P33"/>
    </row>
    <row r="34" spans="1:16">
      <c r="A34" s="90" t="s">
        <v>445</v>
      </c>
      <c r="B34" s="91" t="s">
        <v>666</v>
      </c>
      <c r="C34" s="98">
        <v>45376</v>
      </c>
      <c r="D34" s="92" t="s">
        <v>10</v>
      </c>
      <c r="E34" s="92" t="s">
        <v>10</v>
      </c>
      <c r="F34" s="92"/>
      <c r="G34" s="8"/>
      <c r="K34"/>
      <c r="L34"/>
      <c r="M34"/>
      <c r="N34"/>
      <c r="O34"/>
      <c r="P34"/>
    </row>
    <row r="35" spans="1:16">
      <c r="A35" s="90" t="s">
        <v>445</v>
      </c>
      <c r="B35" s="91" t="s">
        <v>667</v>
      </c>
      <c r="C35" s="98">
        <v>45376</v>
      </c>
      <c r="D35" s="92" t="s">
        <v>10</v>
      </c>
      <c r="E35" s="92" t="s">
        <v>10</v>
      </c>
      <c r="F35" s="93"/>
      <c r="G35" s="8"/>
      <c r="L35"/>
      <c r="M35"/>
      <c r="N35"/>
      <c r="O35"/>
      <c r="P35"/>
    </row>
    <row r="36" spans="1:16">
      <c r="A36" s="92" t="s">
        <v>463</v>
      </c>
      <c r="B36" s="91" t="s">
        <v>668</v>
      </c>
      <c r="C36" s="98">
        <v>45376</v>
      </c>
      <c r="D36" s="92" t="s">
        <v>10</v>
      </c>
      <c r="E36" s="92" t="s">
        <v>10</v>
      </c>
      <c r="F36" s="92"/>
      <c r="G36" s="8"/>
      <c r="L36"/>
      <c r="M36"/>
      <c r="N36"/>
      <c r="O36"/>
      <c r="P36"/>
    </row>
    <row r="37" spans="1:16">
      <c r="A37" s="92" t="s">
        <v>463</v>
      </c>
      <c r="B37" s="91" t="s">
        <v>669</v>
      </c>
      <c r="C37" s="98">
        <v>45376</v>
      </c>
      <c r="D37" s="92" t="s">
        <v>10</v>
      </c>
      <c r="E37" s="92" t="s">
        <v>10</v>
      </c>
      <c r="F37" s="92"/>
      <c r="G37" s="8"/>
      <c r="L37"/>
      <c r="M37"/>
      <c r="N37"/>
      <c r="O37"/>
      <c r="P37"/>
    </row>
    <row r="38" spans="1:16">
      <c r="A38" s="92" t="s">
        <v>463</v>
      </c>
      <c r="B38" s="91" t="s">
        <v>670</v>
      </c>
      <c r="C38" s="98">
        <v>45376</v>
      </c>
      <c r="D38" s="92" t="s">
        <v>10</v>
      </c>
      <c r="E38" s="92" t="s">
        <v>10</v>
      </c>
      <c r="F38" s="92"/>
      <c r="G38" s="8"/>
      <c r="L38"/>
      <c r="M38"/>
      <c r="N38"/>
      <c r="O38"/>
      <c r="P38"/>
    </row>
    <row r="39" spans="1:16">
      <c r="A39" s="92" t="s">
        <v>463</v>
      </c>
      <c r="B39" s="91" t="s">
        <v>671</v>
      </c>
      <c r="C39" s="98">
        <v>45376</v>
      </c>
      <c r="D39" s="92" t="s">
        <v>10</v>
      </c>
      <c r="E39" s="92" t="s">
        <v>10</v>
      </c>
      <c r="F39" s="92"/>
      <c r="G39" s="8"/>
      <c r="L39"/>
      <c r="M39"/>
      <c r="N39"/>
      <c r="O39"/>
      <c r="P39"/>
    </row>
    <row r="40" spans="1:16">
      <c r="A40" s="92" t="s">
        <v>463</v>
      </c>
      <c r="B40" s="91" t="s">
        <v>672</v>
      </c>
      <c r="C40" s="98">
        <v>45376</v>
      </c>
      <c r="D40" s="92" t="s">
        <v>10</v>
      </c>
      <c r="E40" s="92" t="s">
        <v>10</v>
      </c>
      <c r="F40" s="92"/>
      <c r="G40" s="8"/>
      <c r="L40"/>
      <c r="M40"/>
      <c r="N40"/>
      <c r="O40"/>
      <c r="P40"/>
    </row>
    <row r="41" spans="1:16">
      <c r="A41" s="92" t="s">
        <v>463</v>
      </c>
      <c r="B41" s="91" t="s">
        <v>673</v>
      </c>
      <c r="C41" s="98">
        <v>45376</v>
      </c>
      <c r="D41" s="92" t="s">
        <v>10</v>
      </c>
      <c r="E41" s="92" t="s">
        <v>10</v>
      </c>
      <c r="F41" s="92"/>
      <c r="G41" s="8"/>
      <c r="L41"/>
      <c r="M41"/>
      <c r="N41"/>
      <c r="O41"/>
      <c r="P41"/>
    </row>
    <row r="42" spans="1:16">
      <c r="A42" s="92" t="s">
        <v>463</v>
      </c>
      <c r="B42" s="91" t="s">
        <v>674</v>
      </c>
      <c r="C42" s="98">
        <v>45376</v>
      </c>
      <c r="D42" s="92" t="s">
        <v>10</v>
      </c>
      <c r="E42" s="92" t="s">
        <v>10</v>
      </c>
      <c r="F42" s="92"/>
      <c r="G42" s="8"/>
      <c r="L42"/>
      <c r="M42"/>
      <c r="N42"/>
      <c r="O42"/>
      <c r="P42"/>
    </row>
    <row r="43" spans="1:16">
      <c r="A43" s="92" t="s">
        <v>463</v>
      </c>
      <c r="B43" s="91" t="s">
        <v>675</v>
      </c>
      <c r="C43" s="98">
        <v>45376</v>
      </c>
      <c r="D43" s="92" t="s">
        <v>10</v>
      </c>
      <c r="E43" s="92" t="s">
        <v>10</v>
      </c>
      <c r="F43" s="92"/>
      <c r="G43" s="8"/>
      <c r="L43"/>
      <c r="M43"/>
      <c r="N43"/>
      <c r="O43"/>
      <c r="P43"/>
    </row>
    <row r="44" spans="1:16">
      <c r="A44" s="92" t="s">
        <v>463</v>
      </c>
      <c r="B44" s="91" t="s">
        <v>676</v>
      </c>
      <c r="C44" s="98">
        <v>45376</v>
      </c>
      <c r="D44" s="92" t="s">
        <v>10</v>
      </c>
      <c r="E44" s="92" t="s">
        <v>10</v>
      </c>
      <c r="F44" s="92"/>
      <c r="G44" s="8"/>
      <c r="L44"/>
      <c r="M44"/>
      <c r="N44"/>
      <c r="O44"/>
      <c r="P44"/>
    </row>
    <row r="45" spans="1:16">
      <c r="A45" s="92" t="s">
        <v>463</v>
      </c>
      <c r="B45" s="91" t="s">
        <v>677</v>
      </c>
      <c r="C45" s="98">
        <v>45376</v>
      </c>
      <c r="D45" s="92" t="s">
        <v>10</v>
      </c>
      <c r="E45" s="92" t="s">
        <v>10</v>
      </c>
      <c r="F45" s="92"/>
      <c r="G45" s="8"/>
      <c r="L45"/>
      <c r="M45"/>
      <c r="N45"/>
      <c r="O45"/>
      <c r="P45"/>
    </row>
    <row r="46" spans="1:16">
      <c r="A46" s="92" t="s">
        <v>463</v>
      </c>
      <c r="B46" s="91" t="s">
        <v>678</v>
      </c>
      <c r="C46" s="98">
        <v>45376</v>
      </c>
      <c r="D46" s="92" t="s">
        <v>10</v>
      </c>
      <c r="E46" s="92" t="s">
        <v>10</v>
      </c>
      <c r="F46" s="92"/>
      <c r="G46" s="8"/>
      <c r="L46"/>
      <c r="M46"/>
      <c r="N46"/>
      <c r="O46"/>
      <c r="P46"/>
    </row>
    <row r="47" spans="1:16">
      <c r="A47" s="92" t="s">
        <v>463</v>
      </c>
      <c r="B47" s="91" t="s">
        <v>679</v>
      </c>
      <c r="C47" s="98">
        <v>45376</v>
      </c>
      <c r="D47" s="92" t="s">
        <v>10</v>
      </c>
      <c r="E47" s="92" t="s">
        <v>10</v>
      </c>
      <c r="F47" s="92"/>
      <c r="G47" s="8"/>
      <c r="L47"/>
      <c r="M47"/>
      <c r="N47"/>
      <c r="O47"/>
      <c r="P47"/>
    </row>
    <row r="48" spans="1:16">
      <c r="A48" s="92" t="s">
        <v>477</v>
      </c>
      <c r="B48" s="91" t="s">
        <v>680</v>
      </c>
      <c r="C48" s="98">
        <v>45376</v>
      </c>
      <c r="D48" s="92" t="s">
        <v>10</v>
      </c>
      <c r="E48" s="92" t="s">
        <v>10</v>
      </c>
      <c r="F48" s="94"/>
      <c r="G48" s="95"/>
      <c r="L48"/>
      <c r="M48"/>
      <c r="N48"/>
      <c r="O48"/>
      <c r="P48"/>
    </row>
    <row r="49" spans="1:16">
      <c r="A49" s="92" t="s">
        <v>477</v>
      </c>
      <c r="B49" s="91" t="s">
        <v>681</v>
      </c>
      <c r="C49" s="98">
        <v>45376</v>
      </c>
      <c r="D49" s="92" t="s">
        <v>10</v>
      </c>
      <c r="E49" s="92" t="s">
        <v>10</v>
      </c>
      <c r="F49" s="94"/>
      <c r="G49" s="95"/>
      <c r="L49"/>
      <c r="M49"/>
      <c r="N49"/>
      <c r="O49"/>
      <c r="P49"/>
    </row>
    <row r="50" spans="1:16">
      <c r="A50" s="92" t="s">
        <v>477</v>
      </c>
      <c r="B50" s="91" t="s">
        <v>682</v>
      </c>
      <c r="C50" s="98">
        <v>45376</v>
      </c>
      <c r="D50" s="92" t="s">
        <v>10</v>
      </c>
      <c r="E50" s="92" t="s">
        <v>10</v>
      </c>
      <c r="F50" s="8"/>
      <c r="G50" s="95"/>
      <c r="L50"/>
      <c r="M50"/>
      <c r="N50"/>
      <c r="O50"/>
      <c r="P50"/>
    </row>
    <row r="51" spans="1:16">
      <c r="A51" s="92" t="s">
        <v>477</v>
      </c>
      <c r="B51" s="91" t="s">
        <v>683</v>
      </c>
      <c r="C51" s="98">
        <v>45366</v>
      </c>
      <c r="D51" s="92" t="s">
        <v>10</v>
      </c>
      <c r="E51" s="92" t="s">
        <v>10</v>
      </c>
      <c r="F51" s="8"/>
      <c r="G51" s="95"/>
      <c r="L51"/>
      <c r="M51"/>
      <c r="N51"/>
      <c r="O51"/>
      <c r="P51"/>
    </row>
    <row r="52" spans="1:16" ht="274.5">
      <c r="A52" s="92" t="s">
        <v>635</v>
      </c>
      <c r="B52" s="96" t="s">
        <v>684</v>
      </c>
      <c r="C52" s="99">
        <v>45121</v>
      </c>
      <c r="D52" s="92" t="s">
        <v>10</v>
      </c>
      <c r="E52" s="92" t="s">
        <v>21</v>
      </c>
      <c r="F52" s="94" t="s">
        <v>685</v>
      </c>
      <c r="G52" s="95" t="s">
        <v>686</v>
      </c>
      <c r="L52"/>
      <c r="M52"/>
      <c r="N52"/>
      <c r="O52"/>
      <c r="P52"/>
    </row>
    <row r="53" spans="1:16" ht="130.5">
      <c r="A53" s="92" t="s">
        <v>635</v>
      </c>
      <c r="B53" s="96" t="s">
        <v>684</v>
      </c>
      <c r="C53" s="99">
        <v>45122</v>
      </c>
      <c r="D53" s="92" t="s">
        <v>10</v>
      </c>
      <c r="E53" s="92" t="s">
        <v>21</v>
      </c>
      <c r="F53" s="8" t="s">
        <v>687</v>
      </c>
      <c r="G53" s="95" t="s">
        <v>686</v>
      </c>
      <c r="L53"/>
      <c r="M53"/>
      <c r="N53"/>
      <c r="O53"/>
      <c r="P53"/>
    </row>
    <row r="54" spans="1:16">
      <c r="A54" s="92" t="s">
        <v>635</v>
      </c>
      <c r="B54" s="101" t="s">
        <v>688</v>
      </c>
      <c r="C54" s="101"/>
      <c r="D54" s="92" t="s">
        <v>625</v>
      </c>
      <c r="E54" s="92" t="s">
        <v>625</v>
      </c>
      <c r="F54" s="8"/>
      <c r="G54" s="95"/>
      <c r="L54"/>
      <c r="M54"/>
      <c r="N54"/>
      <c r="O54"/>
      <c r="P54"/>
    </row>
    <row r="55" spans="1:16">
      <c r="A55" s="92" t="s">
        <v>635</v>
      </c>
      <c r="B55" s="101" t="s">
        <v>689</v>
      </c>
      <c r="C55" s="101"/>
      <c r="D55" s="92" t="s">
        <v>625</v>
      </c>
      <c r="E55" s="92" t="s">
        <v>625</v>
      </c>
      <c r="F55" s="8"/>
      <c r="G55" s="95"/>
      <c r="L55"/>
      <c r="M55"/>
      <c r="N55"/>
      <c r="O55"/>
      <c r="P55"/>
    </row>
    <row r="56" spans="1:16">
      <c r="A56" s="92" t="s">
        <v>635</v>
      </c>
      <c r="B56" s="101" t="s">
        <v>690</v>
      </c>
      <c r="C56" s="101"/>
      <c r="D56" s="92" t="s">
        <v>625</v>
      </c>
      <c r="E56" s="92" t="s">
        <v>625</v>
      </c>
      <c r="F56" s="8"/>
      <c r="G56" s="95"/>
      <c r="L56"/>
      <c r="M56"/>
      <c r="N56"/>
      <c r="O56"/>
      <c r="P56"/>
    </row>
    <row r="57" spans="1:16">
      <c r="A57" s="92" t="s">
        <v>635</v>
      </c>
      <c r="B57" s="101" t="s">
        <v>691</v>
      </c>
      <c r="C57" s="101"/>
      <c r="D57" s="92" t="s">
        <v>625</v>
      </c>
      <c r="E57" s="92" t="s">
        <v>625</v>
      </c>
      <c r="F57" s="8"/>
      <c r="G57" s="95"/>
      <c r="L57"/>
      <c r="M57"/>
      <c r="N57"/>
      <c r="O57"/>
      <c r="P57"/>
    </row>
    <row r="58" spans="1:16">
      <c r="A58" s="92" t="s">
        <v>635</v>
      </c>
      <c r="B58" s="101" t="s">
        <v>692</v>
      </c>
      <c r="C58" s="101"/>
      <c r="D58" s="92" t="s">
        <v>625</v>
      </c>
      <c r="E58" s="92" t="s">
        <v>625</v>
      </c>
      <c r="F58" s="8"/>
      <c r="G58" s="95"/>
      <c r="L58"/>
      <c r="M58"/>
      <c r="N58"/>
      <c r="O58"/>
      <c r="P58"/>
    </row>
    <row r="59" spans="1:16">
      <c r="A59" s="92" t="s">
        <v>635</v>
      </c>
      <c r="B59" s="101" t="s">
        <v>693</v>
      </c>
      <c r="C59" s="101"/>
      <c r="D59" s="92" t="s">
        <v>625</v>
      </c>
      <c r="E59" s="92" t="s">
        <v>625</v>
      </c>
      <c r="F59" s="8"/>
      <c r="G59" s="95"/>
      <c r="L59"/>
      <c r="M59"/>
      <c r="N59"/>
      <c r="O59"/>
      <c r="P59"/>
    </row>
    <row r="60" spans="1:16">
      <c r="A60" s="92" t="s">
        <v>635</v>
      </c>
      <c r="B60" s="101" t="s">
        <v>694</v>
      </c>
      <c r="C60" s="101"/>
      <c r="D60" s="92" t="s">
        <v>625</v>
      </c>
      <c r="E60" s="92" t="s">
        <v>625</v>
      </c>
      <c r="F60" s="8"/>
      <c r="G60" s="95"/>
      <c r="L60"/>
      <c r="M60"/>
      <c r="N60"/>
      <c r="O60"/>
      <c r="P60"/>
    </row>
    <row r="61" spans="1:16">
      <c r="A61" s="92" t="s">
        <v>635</v>
      </c>
      <c r="B61" s="101" t="s">
        <v>695</v>
      </c>
      <c r="C61" s="111"/>
      <c r="D61" s="92" t="s">
        <v>625</v>
      </c>
      <c r="E61" s="92" t="s">
        <v>625</v>
      </c>
      <c r="F61" s="8"/>
      <c r="G61" s="95"/>
      <c r="L61"/>
      <c r="M61"/>
      <c r="N61"/>
      <c r="O61"/>
      <c r="P61"/>
    </row>
    <row r="62" spans="1:16">
      <c r="A62" s="92" t="s">
        <v>642</v>
      </c>
      <c r="B62" s="101" t="s">
        <v>696</v>
      </c>
      <c r="C62" s="111"/>
      <c r="D62" s="92" t="s">
        <v>625</v>
      </c>
      <c r="E62" s="92" t="s">
        <v>625</v>
      </c>
      <c r="F62" s="8"/>
      <c r="G62" s="95"/>
      <c r="L62"/>
      <c r="M62"/>
      <c r="N62"/>
      <c r="O62"/>
      <c r="P62"/>
    </row>
    <row r="63" spans="1:16" ht="29.25">
      <c r="A63" s="92" t="s">
        <v>323</v>
      </c>
      <c r="B63" s="91" t="s">
        <v>697</v>
      </c>
      <c r="C63" s="98">
        <v>45376</v>
      </c>
      <c r="D63" s="92" t="s">
        <v>10</v>
      </c>
      <c r="E63" s="92" t="s">
        <v>21</v>
      </c>
      <c r="F63" s="93" t="s">
        <v>698</v>
      </c>
      <c r="G63" s="95" t="s">
        <v>686</v>
      </c>
      <c r="L63"/>
      <c r="M63"/>
      <c r="N63"/>
      <c r="O63"/>
      <c r="P63"/>
    </row>
    <row r="64" spans="1:16">
      <c r="A64" s="92" t="s">
        <v>129</v>
      </c>
      <c r="B64" s="91" t="s">
        <v>699</v>
      </c>
      <c r="C64" s="98">
        <v>45370</v>
      </c>
      <c r="D64" s="92" t="s">
        <v>10</v>
      </c>
      <c r="E64" s="92" t="s">
        <v>10</v>
      </c>
      <c r="F64" s="92"/>
      <c r="G64" s="8"/>
      <c r="L64"/>
      <c r="M64"/>
      <c r="N64"/>
      <c r="O64"/>
      <c r="P64"/>
    </row>
    <row r="65" spans="1:16">
      <c r="A65" s="92" t="s">
        <v>129</v>
      </c>
      <c r="B65" s="91" t="s">
        <v>700</v>
      </c>
      <c r="C65" s="98">
        <v>45370</v>
      </c>
      <c r="D65" s="92" t="s">
        <v>10</v>
      </c>
      <c r="E65" s="92" t="s">
        <v>10</v>
      </c>
      <c r="F65" s="92"/>
      <c r="G65" s="8"/>
      <c r="L65"/>
      <c r="M65"/>
      <c r="N65"/>
      <c r="O65"/>
      <c r="P65"/>
    </row>
    <row r="66" spans="1:16">
      <c r="A66" s="92" t="s">
        <v>129</v>
      </c>
      <c r="B66" s="91" t="s">
        <v>701</v>
      </c>
      <c r="C66" s="98">
        <v>45370</v>
      </c>
      <c r="D66" s="92" t="s">
        <v>10</v>
      </c>
      <c r="E66" s="92" t="s">
        <v>10</v>
      </c>
      <c r="F66" s="92"/>
      <c r="G66" s="8"/>
      <c r="L66"/>
      <c r="M66"/>
      <c r="N66"/>
      <c r="O66"/>
      <c r="P66"/>
    </row>
    <row r="67" spans="1:16">
      <c r="A67" s="92" t="s">
        <v>129</v>
      </c>
      <c r="B67" s="91" t="s">
        <v>702</v>
      </c>
      <c r="C67" s="98">
        <v>45370</v>
      </c>
      <c r="D67" s="92" t="s">
        <v>10</v>
      </c>
      <c r="E67" s="92" t="s">
        <v>10</v>
      </c>
      <c r="F67" s="92"/>
      <c r="G67" s="8"/>
      <c r="L67"/>
      <c r="M67"/>
      <c r="N67"/>
      <c r="O67"/>
      <c r="P67"/>
    </row>
    <row r="68" spans="1:16">
      <c r="A68" s="92" t="s">
        <v>129</v>
      </c>
      <c r="B68" s="91" t="s">
        <v>703</v>
      </c>
      <c r="C68" s="98">
        <v>45370</v>
      </c>
      <c r="D68" s="92" t="s">
        <v>10</v>
      </c>
      <c r="E68" s="92" t="s">
        <v>10</v>
      </c>
      <c r="F68" s="92"/>
      <c r="G68" s="8"/>
      <c r="L68"/>
      <c r="M68"/>
      <c r="N68"/>
      <c r="O68"/>
      <c r="P68"/>
    </row>
    <row r="69" spans="1:16">
      <c r="A69" s="92" t="s">
        <v>129</v>
      </c>
      <c r="B69" s="91" t="s">
        <v>704</v>
      </c>
      <c r="C69" s="98">
        <v>45370</v>
      </c>
      <c r="D69" s="92" t="s">
        <v>10</v>
      </c>
      <c r="E69" s="92" t="s">
        <v>10</v>
      </c>
      <c r="F69" s="92"/>
      <c r="G69" s="8"/>
      <c r="L69"/>
      <c r="M69"/>
      <c r="N69"/>
      <c r="O69"/>
      <c r="P69"/>
    </row>
    <row r="70" spans="1:16">
      <c r="A70" s="92" t="s">
        <v>129</v>
      </c>
      <c r="B70" s="91" t="s">
        <v>705</v>
      </c>
      <c r="C70" s="98">
        <v>45370</v>
      </c>
      <c r="D70" s="92" t="s">
        <v>10</v>
      </c>
      <c r="E70" s="92" t="s">
        <v>10</v>
      </c>
      <c r="F70" s="92"/>
      <c r="G70" s="8"/>
      <c r="L70"/>
      <c r="M70"/>
      <c r="N70"/>
      <c r="O70"/>
      <c r="P70"/>
    </row>
    <row r="71" spans="1:16">
      <c r="A71" s="92" t="s">
        <v>129</v>
      </c>
      <c r="B71" s="91" t="s">
        <v>706</v>
      </c>
      <c r="C71" s="98">
        <v>45370</v>
      </c>
      <c r="D71" s="92" t="s">
        <v>10</v>
      </c>
      <c r="E71" s="92" t="s">
        <v>10</v>
      </c>
      <c r="F71" s="92"/>
      <c r="G71" s="8"/>
      <c r="L71"/>
      <c r="M71"/>
      <c r="N71"/>
      <c r="O71"/>
      <c r="P71"/>
    </row>
    <row r="72" spans="1:16">
      <c r="A72" s="92" t="s">
        <v>129</v>
      </c>
      <c r="B72" s="91" t="s">
        <v>707</v>
      </c>
      <c r="C72" s="98"/>
      <c r="D72" s="92" t="s">
        <v>625</v>
      </c>
      <c r="E72" s="92" t="s">
        <v>625</v>
      </c>
      <c r="F72" s="92"/>
      <c r="G72" s="8"/>
      <c r="L72"/>
      <c r="M72"/>
      <c r="N72"/>
      <c r="O72"/>
      <c r="P72"/>
    </row>
    <row r="73" spans="1:16">
      <c r="A73" s="92" t="s">
        <v>261</v>
      </c>
      <c r="B73" s="91" t="s">
        <v>708</v>
      </c>
      <c r="C73" s="98">
        <v>45371</v>
      </c>
      <c r="D73" s="92" t="s">
        <v>10</v>
      </c>
      <c r="E73" s="92" t="s">
        <v>10</v>
      </c>
      <c r="F73" s="92"/>
      <c r="G73" s="8"/>
      <c r="L73"/>
      <c r="M73"/>
      <c r="N73"/>
      <c r="O73"/>
      <c r="P73"/>
    </row>
    <row r="74" spans="1:16">
      <c r="A74" s="92" t="s">
        <v>55</v>
      </c>
      <c r="B74" s="91" t="s">
        <v>709</v>
      </c>
      <c r="C74" s="98">
        <v>45372</v>
      </c>
      <c r="D74" s="92" t="s">
        <v>10</v>
      </c>
      <c r="E74" s="92" t="s">
        <v>10</v>
      </c>
      <c r="F74" s="92"/>
      <c r="G74" s="8"/>
      <c r="L74"/>
      <c r="M74"/>
      <c r="N74"/>
      <c r="O74"/>
      <c r="P74"/>
    </row>
    <row r="75" spans="1:16">
      <c r="A75" s="92" t="s">
        <v>55</v>
      </c>
      <c r="B75" s="91" t="s">
        <v>710</v>
      </c>
      <c r="C75" s="98">
        <v>45372</v>
      </c>
      <c r="D75" s="92" t="s">
        <v>10</v>
      </c>
      <c r="E75" s="92" t="s">
        <v>10</v>
      </c>
      <c r="F75" s="92"/>
      <c r="G75" s="8"/>
      <c r="L75"/>
      <c r="M75"/>
      <c r="N75"/>
      <c r="O75"/>
      <c r="P75"/>
    </row>
    <row r="76" spans="1:16">
      <c r="A76" s="92" t="s">
        <v>55</v>
      </c>
      <c r="B76" s="91" t="s">
        <v>711</v>
      </c>
      <c r="C76" s="98"/>
      <c r="D76" s="92" t="s">
        <v>625</v>
      </c>
      <c r="E76" s="92" t="s">
        <v>625</v>
      </c>
      <c r="F76" s="92"/>
      <c r="G76" s="8"/>
      <c r="L76"/>
      <c r="M76"/>
      <c r="N76"/>
      <c r="O76"/>
      <c r="P76"/>
    </row>
    <row r="77" spans="1:16">
      <c r="A77" s="92" t="s">
        <v>55</v>
      </c>
      <c r="B77" s="91" t="s">
        <v>712</v>
      </c>
      <c r="C77" s="98"/>
      <c r="D77" s="92" t="s">
        <v>625</v>
      </c>
      <c r="E77" s="92" t="s">
        <v>625</v>
      </c>
      <c r="F77" s="92"/>
      <c r="G77" s="8"/>
      <c r="L77"/>
      <c r="M77"/>
      <c r="N77"/>
      <c r="O77"/>
      <c r="P77"/>
    </row>
    <row r="78" spans="1:16">
      <c r="A78" s="92" t="s">
        <v>55</v>
      </c>
      <c r="B78" s="91" t="s">
        <v>713</v>
      </c>
      <c r="C78" s="98">
        <v>45370</v>
      </c>
      <c r="D78" s="92" t="s">
        <v>10</v>
      </c>
      <c r="E78" s="92" t="s">
        <v>10</v>
      </c>
      <c r="F78" s="92"/>
      <c r="G78" s="8"/>
      <c r="L78"/>
      <c r="M78"/>
      <c r="N78"/>
      <c r="O78"/>
      <c r="P78"/>
    </row>
    <row r="79" spans="1:16">
      <c r="A79" s="92" t="s">
        <v>55</v>
      </c>
      <c r="B79" s="91" t="s">
        <v>714</v>
      </c>
      <c r="C79" s="98">
        <v>45378</v>
      </c>
      <c r="D79" s="92" t="s">
        <v>10</v>
      </c>
      <c r="E79" s="92" t="s">
        <v>10</v>
      </c>
      <c r="F79" s="92"/>
      <c r="G79" s="8"/>
      <c r="L79"/>
      <c r="M79"/>
      <c r="N79"/>
      <c r="O79"/>
      <c r="P79"/>
    </row>
    <row r="80" spans="1:16">
      <c r="A80" s="92" t="s">
        <v>133</v>
      </c>
      <c r="B80" s="91" t="s">
        <v>715</v>
      </c>
      <c r="C80" s="98">
        <v>45377</v>
      </c>
      <c r="D80" s="92" t="s">
        <v>10</v>
      </c>
      <c r="E80" s="92" t="s">
        <v>10</v>
      </c>
      <c r="F80" s="92"/>
      <c r="G80" s="8"/>
      <c r="L80"/>
      <c r="M80"/>
      <c r="N80"/>
      <c r="O80"/>
      <c r="P80"/>
    </row>
    <row r="81" spans="1:16">
      <c r="A81" s="92" t="s">
        <v>133</v>
      </c>
      <c r="B81" s="91" t="s">
        <v>716</v>
      </c>
      <c r="C81" s="98"/>
      <c r="D81" s="92" t="s">
        <v>625</v>
      </c>
      <c r="E81" s="92" t="s">
        <v>625</v>
      </c>
      <c r="F81" s="92"/>
      <c r="G81" s="8"/>
      <c r="L81"/>
      <c r="M81"/>
      <c r="N81"/>
      <c r="O81"/>
      <c r="P81"/>
    </row>
    <row r="82" spans="1:16">
      <c r="A82" s="92" t="s">
        <v>133</v>
      </c>
      <c r="B82" s="91" t="s">
        <v>717</v>
      </c>
      <c r="C82" s="98"/>
      <c r="D82" s="92" t="s">
        <v>625</v>
      </c>
      <c r="E82" s="92" t="s">
        <v>625</v>
      </c>
      <c r="F82" s="92"/>
      <c r="G82" s="8"/>
      <c r="L82"/>
      <c r="M82"/>
      <c r="N82"/>
      <c r="O82"/>
      <c r="P82"/>
    </row>
    <row r="83" spans="1:16">
      <c r="A83" s="92" t="s">
        <v>133</v>
      </c>
      <c r="B83" s="91" t="s">
        <v>718</v>
      </c>
      <c r="C83" s="98">
        <v>45377</v>
      </c>
      <c r="D83" s="92" t="s">
        <v>10</v>
      </c>
      <c r="E83" s="92" t="s">
        <v>10</v>
      </c>
      <c r="F83" s="92"/>
      <c r="G83" s="8"/>
      <c r="L83"/>
      <c r="M83"/>
      <c r="N83"/>
      <c r="O83"/>
      <c r="P83"/>
    </row>
    <row r="84" spans="1:16">
      <c r="A84" s="92" t="s">
        <v>133</v>
      </c>
      <c r="B84" s="91" t="s">
        <v>719</v>
      </c>
      <c r="C84" s="98"/>
      <c r="D84" s="92" t="s">
        <v>625</v>
      </c>
      <c r="E84" s="92" t="s">
        <v>625</v>
      </c>
      <c r="F84" s="92"/>
      <c r="G84" s="8"/>
      <c r="L84"/>
      <c r="M84"/>
      <c r="N84"/>
      <c r="O84"/>
      <c r="P84"/>
    </row>
    <row r="85" spans="1:16">
      <c r="A85" s="92" t="s">
        <v>133</v>
      </c>
      <c r="B85" s="91" t="s">
        <v>720</v>
      </c>
      <c r="C85" s="98"/>
      <c r="D85" s="92" t="s">
        <v>625</v>
      </c>
      <c r="E85" s="92" t="s">
        <v>625</v>
      </c>
      <c r="F85" s="92"/>
      <c r="G85" s="8"/>
      <c r="L85"/>
      <c r="M85"/>
      <c r="N85"/>
      <c r="O85"/>
      <c r="P85"/>
    </row>
    <row r="86" spans="1:16">
      <c r="A86" s="92" t="s">
        <v>133</v>
      </c>
      <c r="B86" s="91" t="s">
        <v>721</v>
      </c>
      <c r="C86" s="98">
        <v>45371</v>
      </c>
      <c r="D86" s="92" t="s">
        <v>10</v>
      </c>
      <c r="E86" s="92" t="s">
        <v>10</v>
      </c>
      <c r="F86" s="92"/>
      <c r="G86" s="8"/>
      <c r="L86"/>
      <c r="M86"/>
      <c r="N86"/>
      <c r="O86"/>
      <c r="P86"/>
    </row>
    <row r="87" spans="1:16">
      <c r="A87" s="92" t="s">
        <v>133</v>
      </c>
      <c r="B87" s="91" t="s">
        <v>722</v>
      </c>
      <c r="C87" s="98"/>
      <c r="D87" s="92" t="s">
        <v>625</v>
      </c>
      <c r="E87" s="92" t="s">
        <v>625</v>
      </c>
      <c r="F87" s="92"/>
      <c r="G87" s="8"/>
      <c r="L87"/>
      <c r="M87"/>
      <c r="N87"/>
      <c r="O87"/>
      <c r="P87"/>
    </row>
    <row r="88" spans="1:16">
      <c r="A88" s="92" t="s">
        <v>133</v>
      </c>
      <c r="B88" s="91" t="s">
        <v>723</v>
      </c>
      <c r="C88" s="98"/>
      <c r="D88" s="92" t="s">
        <v>625</v>
      </c>
      <c r="E88" s="92" t="s">
        <v>625</v>
      </c>
      <c r="F88" s="92"/>
      <c r="G88" s="8"/>
      <c r="L88"/>
      <c r="M88"/>
      <c r="N88"/>
      <c r="O88"/>
      <c r="P88"/>
    </row>
    <row r="89" spans="1:16">
      <c r="A89" s="92" t="s">
        <v>133</v>
      </c>
      <c r="B89" s="91" t="s">
        <v>724</v>
      </c>
      <c r="C89" s="98"/>
      <c r="D89" s="92" t="s">
        <v>625</v>
      </c>
      <c r="E89" s="92" t="s">
        <v>625</v>
      </c>
      <c r="F89" s="92"/>
      <c r="G89" s="8"/>
      <c r="L89"/>
      <c r="M89"/>
      <c r="N89"/>
      <c r="O89"/>
      <c r="P89"/>
    </row>
    <row r="90" spans="1:16">
      <c r="A90" s="92" t="s">
        <v>133</v>
      </c>
      <c r="B90" s="91" t="s">
        <v>725</v>
      </c>
      <c r="C90" s="98"/>
      <c r="D90" s="92" t="s">
        <v>625</v>
      </c>
      <c r="E90" s="92" t="s">
        <v>625</v>
      </c>
      <c r="F90" s="92"/>
      <c r="G90" s="8"/>
      <c r="L90"/>
      <c r="M90"/>
      <c r="N90"/>
      <c r="O90"/>
      <c r="P90"/>
    </row>
    <row r="91" spans="1:16">
      <c r="A91" s="92" t="s">
        <v>77</v>
      </c>
      <c r="B91" s="91" t="s">
        <v>726</v>
      </c>
      <c r="C91" s="98"/>
      <c r="D91" s="92" t="s">
        <v>625</v>
      </c>
      <c r="E91" s="92" t="s">
        <v>625</v>
      </c>
      <c r="F91" s="92"/>
      <c r="G91" s="8"/>
      <c r="L91"/>
      <c r="M91"/>
      <c r="N91"/>
      <c r="O91"/>
      <c r="P91"/>
    </row>
    <row r="92" spans="1:16">
      <c r="A92" s="92" t="s">
        <v>77</v>
      </c>
      <c r="B92" s="91" t="s">
        <v>727</v>
      </c>
      <c r="C92" s="98">
        <v>45371</v>
      </c>
      <c r="D92" s="92" t="s">
        <v>10</v>
      </c>
      <c r="E92" s="92" t="s">
        <v>10</v>
      </c>
      <c r="F92" s="92"/>
      <c r="G92" s="8"/>
      <c r="L92"/>
      <c r="M92"/>
      <c r="N92"/>
      <c r="O92"/>
      <c r="P92"/>
    </row>
    <row r="93" spans="1:16">
      <c r="A93" s="92" t="s">
        <v>77</v>
      </c>
      <c r="B93" s="91" t="s">
        <v>728</v>
      </c>
      <c r="C93" s="98"/>
      <c r="D93" s="92" t="s">
        <v>625</v>
      </c>
      <c r="E93" s="92" t="s">
        <v>625</v>
      </c>
      <c r="F93" s="92"/>
      <c r="G93" s="8"/>
      <c r="L93"/>
      <c r="M93"/>
      <c r="N93"/>
      <c r="O93"/>
      <c r="P93"/>
    </row>
    <row r="94" spans="1:16">
      <c r="A94" s="92" t="s">
        <v>77</v>
      </c>
      <c r="B94" s="91" t="s">
        <v>729</v>
      </c>
      <c r="C94" s="98"/>
      <c r="D94" s="92" t="s">
        <v>625</v>
      </c>
      <c r="E94" s="92" t="s">
        <v>625</v>
      </c>
      <c r="F94" s="92"/>
      <c r="G94" s="8"/>
      <c r="L94"/>
      <c r="M94"/>
      <c r="N94"/>
      <c r="O94"/>
      <c r="P94"/>
    </row>
    <row r="95" spans="1:16">
      <c r="A95" s="92" t="s">
        <v>77</v>
      </c>
      <c r="B95" s="91" t="s">
        <v>730</v>
      </c>
      <c r="C95" s="98"/>
      <c r="D95" s="92" t="s">
        <v>625</v>
      </c>
      <c r="E95" s="92" t="s">
        <v>625</v>
      </c>
      <c r="F95" s="92"/>
      <c r="G95" s="8"/>
      <c r="L95"/>
      <c r="M95"/>
      <c r="N95"/>
      <c r="O95"/>
      <c r="P95"/>
    </row>
    <row r="96" spans="1:16">
      <c r="A96" s="92" t="s">
        <v>77</v>
      </c>
      <c r="B96" s="91" t="s">
        <v>731</v>
      </c>
      <c r="C96" s="98"/>
      <c r="D96" s="92" t="s">
        <v>625</v>
      </c>
      <c r="E96" s="92" t="s">
        <v>625</v>
      </c>
      <c r="F96" s="92"/>
      <c r="G96" s="8"/>
      <c r="L96"/>
      <c r="M96"/>
      <c r="N96"/>
      <c r="O96"/>
      <c r="P96"/>
    </row>
    <row r="97" spans="1:16">
      <c r="A97" s="92" t="s">
        <v>77</v>
      </c>
      <c r="B97" s="91" t="s">
        <v>732</v>
      </c>
      <c r="C97" s="98"/>
      <c r="D97" s="92" t="s">
        <v>625</v>
      </c>
      <c r="E97" s="92" t="s">
        <v>625</v>
      </c>
      <c r="F97" s="92"/>
      <c r="G97" s="8"/>
      <c r="L97"/>
      <c r="M97"/>
      <c r="N97"/>
      <c r="O97"/>
      <c r="P97"/>
    </row>
    <row r="98" spans="1:16">
      <c r="A98" s="92" t="s">
        <v>77</v>
      </c>
      <c r="B98" s="91" t="s">
        <v>733</v>
      </c>
      <c r="C98" s="98"/>
      <c r="D98" s="92" t="s">
        <v>625</v>
      </c>
      <c r="E98" s="92" t="s">
        <v>625</v>
      </c>
      <c r="F98" s="92"/>
      <c r="G98" s="8"/>
      <c r="L98"/>
      <c r="M98"/>
      <c r="N98"/>
      <c r="O98"/>
      <c r="P98"/>
    </row>
    <row r="99" spans="1:16">
      <c r="A99" s="92" t="s">
        <v>77</v>
      </c>
      <c r="B99" s="91" t="s">
        <v>734</v>
      </c>
      <c r="C99" s="98">
        <v>45371</v>
      </c>
      <c r="D99" s="92" t="s">
        <v>10</v>
      </c>
      <c r="E99" s="92" t="s">
        <v>10</v>
      </c>
      <c r="F99" s="92"/>
      <c r="G99" s="8"/>
      <c r="L99"/>
      <c r="M99"/>
      <c r="N99"/>
      <c r="O99"/>
      <c r="P99"/>
    </row>
    <row r="100" spans="1:16">
      <c r="A100" s="92" t="s">
        <v>83</v>
      </c>
      <c r="B100" s="101" t="s">
        <v>735</v>
      </c>
      <c r="C100" s="98"/>
      <c r="D100" s="92" t="s">
        <v>625</v>
      </c>
      <c r="E100" s="92" t="s">
        <v>625</v>
      </c>
      <c r="F100" s="92"/>
      <c r="G100" s="8"/>
      <c r="L100"/>
      <c r="M100"/>
      <c r="N100"/>
      <c r="O100"/>
      <c r="P100"/>
    </row>
    <row r="101" spans="1:16">
      <c r="A101" s="92" t="s">
        <v>83</v>
      </c>
      <c r="B101" s="101" t="s">
        <v>736</v>
      </c>
      <c r="C101" s="98"/>
      <c r="D101" s="92" t="s">
        <v>625</v>
      </c>
      <c r="E101" s="92" t="s">
        <v>625</v>
      </c>
      <c r="F101" s="92"/>
      <c r="G101" s="8"/>
      <c r="L101"/>
      <c r="M101"/>
      <c r="N101"/>
      <c r="O101"/>
      <c r="P101"/>
    </row>
    <row r="102" spans="1:16">
      <c r="A102" s="92" t="s">
        <v>83</v>
      </c>
      <c r="B102" s="101" t="s">
        <v>737</v>
      </c>
      <c r="C102" s="98"/>
      <c r="D102" s="92" t="s">
        <v>625</v>
      </c>
      <c r="E102" s="92" t="s">
        <v>625</v>
      </c>
      <c r="F102" s="92"/>
      <c r="G102" s="8"/>
      <c r="L102"/>
      <c r="M102"/>
      <c r="N102"/>
      <c r="O102"/>
      <c r="P102"/>
    </row>
    <row r="103" spans="1:16">
      <c r="A103" s="92" t="s">
        <v>83</v>
      </c>
      <c r="B103" s="101" t="s">
        <v>738</v>
      </c>
      <c r="C103" s="98"/>
      <c r="D103" s="92" t="s">
        <v>625</v>
      </c>
      <c r="E103" s="92" t="s">
        <v>625</v>
      </c>
      <c r="F103" s="92"/>
      <c r="G103" s="8"/>
      <c r="L103"/>
      <c r="M103"/>
      <c r="N103"/>
      <c r="O103"/>
      <c r="P103"/>
    </row>
    <row r="104" spans="1:16">
      <c r="A104" s="92" t="s">
        <v>83</v>
      </c>
      <c r="B104" s="101" t="s">
        <v>739</v>
      </c>
      <c r="C104" s="98"/>
      <c r="D104" s="92" t="s">
        <v>625</v>
      </c>
      <c r="E104" s="92" t="s">
        <v>625</v>
      </c>
      <c r="F104" s="92"/>
      <c r="G104" s="8"/>
      <c r="L104"/>
      <c r="M104"/>
      <c r="N104"/>
      <c r="O104"/>
      <c r="P104"/>
    </row>
    <row r="105" spans="1:16">
      <c r="A105" s="92" t="s">
        <v>83</v>
      </c>
      <c r="B105" s="101" t="s">
        <v>740</v>
      </c>
      <c r="C105" s="98"/>
      <c r="D105" s="92" t="s">
        <v>625</v>
      </c>
      <c r="E105" s="92" t="s">
        <v>625</v>
      </c>
      <c r="F105" s="92"/>
      <c r="G105" s="8"/>
      <c r="L105"/>
      <c r="M105"/>
      <c r="N105"/>
      <c r="O105"/>
      <c r="P105"/>
    </row>
    <row r="106" spans="1:16">
      <c r="A106" s="92" t="s">
        <v>83</v>
      </c>
      <c r="B106" s="101" t="s">
        <v>741</v>
      </c>
      <c r="C106" s="98"/>
      <c r="D106" s="92" t="s">
        <v>625</v>
      </c>
      <c r="E106" s="92" t="s">
        <v>625</v>
      </c>
      <c r="F106" s="92"/>
      <c r="G106" s="8"/>
      <c r="L106"/>
      <c r="M106"/>
      <c r="N106"/>
      <c r="O106"/>
      <c r="P106"/>
    </row>
    <row r="107" spans="1:16">
      <c r="A107" s="92" t="s">
        <v>83</v>
      </c>
      <c r="B107" s="101" t="s">
        <v>742</v>
      </c>
      <c r="C107" s="98"/>
      <c r="D107" s="92" t="s">
        <v>625</v>
      </c>
      <c r="E107" s="92" t="s">
        <v>625</v>
      </c>
      <c r="F107" s="92"/>
      <c r="G107" s="8"/>
      <c r="L107"/>
      <c r="M107"/>
      <c r="N107"/>
      <c r="O107"/>
      <c r="P107"/>
    </row>
    <row r="108" spans="1:16">
      <c r="A108" s="92" t="s">
        <v>83</v>
      </c>
      <c r="B108" s="101" t="s">
        <v>743</v>
      </c>
      <c r="C108" s="98"/>
      <c r="D108" s="92" t="s">
        <v>625</v>
      </c>
      <c r="E108" s="92" t="s">
        <v>625</v>
      </c>
      <c r="F108" s="92"/>
      <c r="G108" s="8"/>
      <c r="L108"/>
      <c r="M108"/>
      <c r="N108"/>
      <c r="O108"/>
      <c r="P108"/>
    </row>
    <row r="109" spans="1:16">
      <c r="A109" s="92" t="s">
        <v>83</v>
      </c>
      <c r="B109" s="101" t="s">
        <v>744</v>
      </c>
      <c r="C109" s="99">
        <v>45378</v>
      </c>
      <c r="D109" s="92" t="s">
        <v>10</v>
      </c>
      <c r="E109" s="92" t="s">
        <v>21</v>
      </c>
      <c r="F109" s="102" t="s">
        <v>745</v>
      </c>
      <c r="G109" s="103" t="s">
        <v>746</v>
      </c>
      <c r="L109"/>
      <c r="M109"/>
      <c r="N109"/>
      <c r="O109"/>
      <c r="P109"/>
    </row>
    <row r="110" spans="1:16">
      <c r="A110" s="92" t="s">
        <v>83</v>
      </c>
      <c r="B110" s="101" t="s">
        <v>747</v>
      </c>
      <c r="C110" s="98"/>
      <c r="D110" s="92" t="s">
        <v>625</v>
      </c>
      <c r="E110" s="92" t="s">
        <v>625</v>
      </c>
      <c r="F110" s="92"/>
      <c r="G110" s="8"/>
      <c r="L110"/>
      <c r="M110"/>
      <c r="N110"/>
      <c r="O110"/>
      <c r="P110"/>
    </row>
    <row r="111" spans="1:16">
      <c r="A111" s="92" t="s">
        <v>83</v>
      </c>
      <c r="B111" s="101" t="s">
        <v>748</v>
      </c>
      <c r="C111" s="98"/>
      <c r="D111" s="92" t="s">
        <v>625</v>
      </c>
      <c r="E111" s="92" t="s">
        <v>625</v>
      </c>
      <c r="F111" s="92"/>
      <c r="G111" s="8"/>
      <c r="L111"/>
      <c r="M111"/>
      <c r="N111"/>
      <c r="O111"/>
      <c r="P111"/>
    </row>
    <row r="112" spans="1:16">
      <c r="A112" s="92" t="s">
        <v>83</v>
      </c>
      <c r="B112" s="101" t="s">
        <v>749</v>
      </c>
      <c r="C112" s="98"/>
      <c r="D112" s="92" t="s">
        <v>625</v>
      </c>
      <c r="E112" s="92" t="s">
        <v>625</v>
      </c>
      <c r="F112" s="92"/>
      <c r="G112" s="8"/>
      <c r="L112"/>
      <c r="M112"/>
      <c r="N112"/>
      <c r="O112"/>
      <c r="P112"/>
    </row>
    <row r="113" spans="1:16">
      <c r="A113" s="92" t="s">
        <v>83</v>
      </c>
      <c r="B113" s="101" t="s">
        <v>750</v>
      </c>
      <c r="C113" s="98"/>
      <c r="D113" s="92" t="s">
        <v>625</v>
      </c>
      <c r="E113" s="92" t="s">
        <v>625</v>
      </c>
      <c r="F113" s="92"/>
      <c r="G113" s="8"/>
      <c r="L113"/>
      <c r="M113"/>
      <c r="N113"/>
      <c r="O113"/>
      <c r="P113"/>
    </row>
    <row r="114" spans="1:16">
      <c r="A114" s="92" t="s">
        <v>83</v>
      </c>
      <c r="B114" s="101" t="s">
        <v>607</v>
      </c>
      <c r="C114" s="98"/>
      <c r="D114" s="92" t="s">
        <v>625</v>
      </c>
      <c r="E114" s="92" t="s">
        <v>625</v>
      </c>
      <c r="F114" s="92"/>
      <c r="G114" s="8"/>
      <c r="L114"/>
      <c r="M114"/>
      <c r="N114"/>
      <c r="O114"/>
      <c r="P114"/>
    </row>
    <row r="115" spans="1:16">
      <c r="A115" s="92" t="s">
        <v>83</v>
      </c>
      <c r="B115" s="101" t="s">
        <v>608</v>
      </c>
      <c r="C115" s="98"/>
      <c r="D115" s="92" t="s">
        <v>625</v>
      </c>
      <c r="E115" s="92" t="s">
        <v>625</v>
      </c>
      <c r="F115" s="92"/>
      <c r="G115" s="8"/>
      <c r="L115"/>
      <c r="M115"/>
      <c r="N115"/>
      <c r="O115"/>
      <c r="P115"/>
    </row>
    <row r="116" spans="1:16">
      <c r="A116" s="92" t="s">
        <v>83</v>
      </c>
      <c r="B116" s="101" t="s">
        <v>609</v>
      </c>
      <c r="C116" s="98"/>
      <c r="D116" s="92" t="s">
        <v>625</v>
      </c>
      <c r="E116" s="92" t="s">
        <v>625</v>
      </c>
      <c r="F116" s="92"/>
      <c r="G116" s="8"/>
      <c r="L116"/>
      <c r="M116"/>
      <c r="N116"/>
      <c r="O116"/>
      <c r="P116"/>
    </row>
    <row r="117" spans="1:16">
      <c r="A117" s="92" t="s">
        <v>83</v>
      </c>
      <c r="B117" s="101" t="s">
        <v>751</v>
      </c>
      <c r="C117" s="114">
        <v>45377</v>
      </c>
      <c r="D117" s="92" t="s">
        <v>10</v>
      </c>
      <c r="E117" s="92" t="s">
        <v>10</v>
      </c>
      <c r="F117" s="92"/>
      <c r="G117" s="8"/>
      <c r="L117"/>
      <c r="M117"/>
      <c r="N117"/>
      <c r="O117"/>
      <c r="P117"/>
    </row>
    <row r="118" spans="1:16">
      <c r="A118" s="92" t="s">
        <v>83</v>
      </c>
      <c r="B118" s="101" t="s">
        <v>610</v>
      </c>
      <c r="C118" s="98"/>
      <c r="D118" s="92" t="s">
        <v>625</v>
      </c>
      <c r="E118" s="92" t="s">
        <v>625</v>
      </c>
      <c r="F118" s="92"/>
      <c r="G118" s="8"/>
      <c r="L118"/>
      <c r="M118"/>
      <c r="N118"/>
      <c r="O118"/>
      <c r="P118"/>
    </row>
    <row r="119" spans="1:16">
      <c r="A119" s="92" t="s">
        <v>83</v>
      </c>
      <c r="B119" s="101" t="s">
        <v>752</v>
      </c>
      <c r="C119" s="98"/>
      <c r="D119" s="92" t="s">
        <v>625</v>
      </c>
      <c r="E119" s="92" t="s">
        <v>625</v>
      </c>
      <c r="F119" s="92"/>
      <c r="G119" s="8"/>
      <c r="L119"/>
      <c r="M119"/>
      <c r="N119"/>
      <c r="O119"/>
      <c r="P119"/>
    </row>
    <row r="120" spans="1:16">
      <c r="A120" s="92" t="s">
        <v>83</v>
      </c>
      <c r="B120" s="101" t="s">
        <v>602</v>
      </c>
      <c r="C120" s="98"/>
      <c r="D120" s="92" t="s">
        <v>625</v>
      </c>
      <c r="E120" s="92" t="s">
        <v>625</v>
      </c>
      <c r="F120" s="92"/>
      <c r="G120" s="8"/>
      <c r="L120"/>
      <c r="M120"/>
      <c r="N120"/>
      <c r="O120"/>
      <c r="P120"/>
    </row>
    <row r="121" spans="1:16">
      <c r="A121" s="92" t="s">
        <v>83</v>
      </c>
      <c r="B121" s="101" t="s">
        <v>603</v>
      </c>
      <c r="C121" s="98"/>
      <c r="D121" s="92" t="s">
        <v>625</v>
      </c>
      <c r="E121" s="92" t="s">
        <v>625</v>
      </c>
      <c r="F121" s="92"/>
      <c r="G121" s="8"/>
      <c r="L121"/>
      <c r="M121"/>
      <c r="N121"/>
      <c r="O121"/>
      <c r="P121"/>
    </row>
    <row r="122" spans="1:16">
      <c r="A122" s="92" t="s">
        <v>83</v>
      </c>
      <c r="B122" s="101" t="s">
        <v>604</v>
      </c>
      <c r="C122" s="98"/>
      <c r="D122" s="92" t="s">
        <v>625</v>
      </c>
      <c r="E122" s="92" t="s">
        <v>625</v>
      </c>
      <c r="F122" s="92"/>
      <c r="G122" s="8"/>
      <c r="L122"/>
      <c r="M122"/>
      <c r="N122"/>
      <c r="O122"/>
      <c r="P122"/>
    </row>
    <row r="123" spans="1:16">
      <c r="A123" s="92" t="s">
        <v>83</v>
      </c>
      <c r="B123" s="101" t="s">
        <v>753</v>
      </c>
      <c r="C123" s="98"/>
      <c r="D123" s="92" t="s">
        <v>625</v>
      </c>
      <c r="E123" s="92" t="s">
        <v>625</v>
      </c>
      <c r="F123" s="92"/>
      <c r="G123" s="8"/>
      <c r="L123"/>
      <c r="M123"/>
      <c r="N123"/>
      <c r="O123"/>
      <c r="P123"/>
    </row>
    <row r="124" spans="1:16">
      <c r="A124" s="92" t="s">
        <v>83</v>
      </c>
      <c r="B124" s="101" t="s">
        <v>754</v>
      </c>
      <c r="C124" s="98"/>
      <c r="D124" s="92" t="s">
        <v>625</v>
      </c>
      <c r="E124" s="92" t="s">
        <v>625</v>
      </c>
      <c r="F124" s="92"/>
      <c r="G124" s="8"/>
      <c r="L124"/>
      <c r="M124"/>
      <c r="N124"/>
      <c r="O124"/>
      <c r="P124"/>
    </row>
    <row r="125" spans="1:16">
      <c r="A125" s="92" t="s">
        <v>83</v>
      </c>
      <c r="B125" s="101" t="s">
        <v>755</v>
      </c>
      <c r="C125" s="98"/>
      <c r="D125" s="92" t="s">
        <v>625</v>
      </c>
      <c r="E125" s="92" t="s">
        <v>625</v>
      </c>
      <c r="F125" s="92"/>
      <c r="G125" s="8"/>
      <c r="L125"/>
      <c r="M125"/>
      <c r="N125"/>
      <c r="O125"/>
      <c r="P125"/>
    </row>
    <row r="126" spans="1:16">
      <c r="A126" s="92" t="s">
        <v>83</v>
      </c>
      <c r="B126" s="101" t="s">
        <v>756</v>
      </c>
      <c r="C126" s="98"/>
      <c r="D126" s="92" t="s">
        <v>625</v>
      </c>
      <c r="E126" s="92" t="s">
        <v>625</v>
      </c>
      <c r="F126" s="92"/>
      <c r="G126" s="8"/>
      <c r="L126"/>
      <c r="M126"/>
      <c r="N126"/>
      <c r="O126"/>
      <c r="P126"/>
    </row>
    <row r="127" spans="1:16">
      <c r="A127" s="92" t="s">
        <v>83</v>
      </c>
      <c r="B127" s="101" t="s">
        <v>757</v>
      </c>
      <c r="C127" s="98"/>
      <c r="D127" s="92" t="s">
        <v>625</v>
      </c>
      <c r="E127" s="92" t="s">
        <v>625</v>
      </c>
      <c r="F127" s="92"/>
      <c r="G127" s="8"/>
      <c r="L127"/>
      <c r="M127"/>
      <c r="N127"/>
      <c r="O127"/>
      <c r="P127"/>
    </row>
    <row r="128" spans="1:16">
      <c r="A128" s="92" t="s">
        <v>83</v>
      </c>
      <c r="B128" s="101" t="s">
        <v>758</v>
      </c>
      <c r="C128" s="98"/>
      <c r="D128" s="92" t="s">
        <v>625</v>
      </c>
      <c r="E128" s="92" t="s">
        <v>625</v>
      </c>
      <c r="F128" s="92"/>
      <c r="G128" s="8"/>
      <c r="L128"/>
      <c r="M128"/>
      <c r="N128"/>
      <c r="O128"/>
      <c r="P128"/>
    </row>
    <row r="129" spans="1:16">
      <c r="A129" s="92" t="s">
        <v>83</v>
      </c>
      <c r="B129" s="101" t="s">
        <v>759</v>
      </c>
      <c r="C129" s="98"/>
      <c r="D129" s="92" t="s">
        <v>625</v>
      </c>
      <c r="E129" s="92" t="s">
        <v>625</v>
      </c>
      <c r="F129" s="92"/>
      <c r="G129" s="8"/>
      <c r="L129"/>
      <c r="M129"/>
      <c r="N129"/>
      <c r="O129"/>
      <c r="P129"/>
    </row>
    <row r="130" spans="1:16">
      <c r="A130" s="92" t="s">
        <v>83</v>
      </c>
      <c r="B130" s="101" t="s">
        <v>760</v>
      </c>
      <c r="C130" s="98"/>
      <c r="D130" s="92" t="s">
        <v>625</v>
      </c>
      <c r="E130" s="92" t="s">
        <v>625</v>
      </c>
      <c r="F130" s="92"/>
      <c r="G130" s="8"/>
      <c r="L130"/>
      <c r="M130"/>
      <c r="N130"/>
      <c r="O130"/>
      <c r="P130"/>
    </row>
    <row r="131" spans="1:16">
      <c r="A131" s="92" t="s">
        <v>83</v>
      </c>
      <c r="B131" s="101" t="s">
        <v>761</v>
      </c>
      <c r="C131" s="98"/>
      <c r="D131" s="92" t="s">
        <v>625</v>
      </c>
      <c r="E131" s="92" t="s">
        <v>625</v>
      </c>
      <c r="F131" s="92"/>
      <c r="G131" s="8"/>
      <c r="L131"/>
      <c r="M131"/>
      <c r="N131"/>
      <c r="O131"/>
      <c r="P131"/>
    </row>
    <row r="132" spans="1:16">
      <c r="A132" s="92" t="s">
        <v>83</v>
      </c>
      <c r="B132" s="101" t="s">
        <v>612</v>
      </c>
      <c r="C132" s="98"/>
      <c r="D132" s="92" t="s">
        <v>625</v>
      </c>
      <c r="E132" s="92" t="s">
        <v>625</v>
      </c>
      <c r="F132" s="92"/>
      <c r="G132" s="8"/>
      <c r="L132"/>
      <c r="M132"/>
      <c r="N132"/>
      <c r="O132"/>
      <c r="P132"/>
    </row>
    <row r="133" spans="1:16">
      <c r="A133" s="92" t="s">
        <v>83</v>
      </c>
      <c r="B133" s="101" t="s">
        <v>762</v>
      </c>
      <c r="C133" s="98"/>
      <c r="D133" s="92" t="s">
        <v>625</v>
      </c>
      <c r="E133" s="92" t="s">
        <v>625</v>
      </c>
      <c r="F133" s="92"/>
      <c r="G133" s="8"/>
      <c r="L133"/>
      <c r="M133"/>
      <c r="N133"/>
      <c r="O133"/>
      <c r="P133"/>
    </row>
    <row r="134" spans="1:16">
      <c r="A134" s="92" t="s">
        <v>83</v>
      </c>
      <c r="B134" s="101" t="s">
        <v>763</v>
      </c>
      <c r="C134" s="98"/>
      <c r="D134" s="92" t="s">
        <v>625</v>
      </c>
      <c r="E134" s="92" t="s">
        <v>625</v>
      </c>
      <c r="F134" s="92"/>
      <c r="G134" s="8"/>
      <c r="L134"/>
      <c r="M134"/>
      <c r="N134"/>
      <c r="O134"/>
      <c r="P134"/>
    </row>
    <row r="135" spans="1:16" ht="29.25">
      <c r="A135" s="92" t="s">
        <v>250</v>
      </c>
      <c r="B135" s="101" t="s">
        <v>764</v>
      </c>
      <c r="C135" s="98">
        <v>45377</v>
      </c>
      <c r="D135" s="92" t="s">
        <v>10</v>
      </c>
      <c r="E135" s="92" t="s">
        <v>21</v>
      </c>
      <c r="F135" s="102" t="s">
        <v>745</v>
      </c>
      <c r="G135" s="104" t="s">
        <v>765</v>
      </c>
      <c r="L135"/>
      <c r="M135"/>
      <c r="N135"/>
      <c r="O135"/>
      <c r="P135"/>
    </row>
    <row r="136" spans="1:16">
      <c r="A136" s="92" t="s">
        <v>250</v>
      </c>
      <c r="B136" s="101" t="s">
        <v>766</v>
      </c>
      <c r="C136" s="98">
        <v>45364</v>
      </c>
      <c r="D136" s="92" t="s">
        <v>10</v>
      </c>
      <c r="E136" s="92" t="s">
        <v>21</v>
      </c>
      <c r="F136" s="102" t="s">
        <v>745</v>
      </c>
      <c r="G136" s="105" t="s">
        <v>767</v>
      </c>
      <c r="L136"/>
      <c r="M136"/>
      <c r="N136"/>
      <c r="O136"/>
      <c r="P136"/>
    </row>
    <row r="137" spans="1:16">
      <c r="A137" s="92" t="s">
        <v>250</v>
      </c>
      <c r="B137" s="101" t="s">
        <v>768</v>
      </c>
      <c r="C137" s="98">
        <v>45377</v>
      </c>
      <c r="D137" s="92" t="s">
        <v>10</v>
      </c>
      <c r="E137" s="92" t="s">
        <v>10</v>
      </c>
      <c r="F137" s="92"/>
      <c r="G137" s="8"/>
      <c r="L137"/>
      <c r="M137"/>
      <c r="N137"/>
      <c r="O137"/>
      <c r="P137"/>
    </row>
    <row r="138" spans="1:16">
      <c r="A138" s="92" t="s">
        <v>268</v>
      </c>
      <c r="B138" s="106" t="s">
        <v>769</v>
      </c>
      <c r="C138" s="98">
        <v>45377</v>
      </c>
      <c r="D138" s="92" t="s">
        <v>10</v>
      </c>
      <c r="E138" s="92" t="s">
        <v>10</v>
      </c>
      <c r="F138" s="92"/>
      <c r="G138" s="8"/>
      <c r="L138"/>
      <c r="M138"/>
      <c r="N138"/>
      <c r="O138"/>
      <c r="P138"/>
    </row>
    <row r="139" spans="1:16">
      <c r="A139" s="92" t="s">
        <v>647</v>
      </c>
      <c r="B139" s="112" t="s">
        <v>770</v>
      </c>
      <c r="C139" s="98"/>
      <c r="D139" s="92" t="s">
        <v>625</v>
      </c>
      <c r="E139" s="92" t="s">
        <v>625</v>
      </c>
      <c r="F139" s="92"/>
      <c r="G139" s="8"/>
      <c r="L139"/>
      <c r="M139"/>
      <c r="N139"/>
      <c r="O139"/>
      <c r="P139"/>
    </row>
    <row r="140" spans="1:16">
      <c r="A140" s="92" t="s">
        <v>195</v>
      </c>
      <c r="B140" s="92" t="s">
        <v>771</v>
      </c>
      <c r="C140" s="98">
        <v>43910</v>
      </c>
      <c r="D140" s="92" t="s">
        <v>10</v>
      </c>
      <c r="E140" s="92" t="s">
        <v>10</v>
      </c>
      <c r="F140" s="92"/>
      <c r="G140" s="8"/>
      <c r="L140"/>
      <c r="M140"/>
      <c r="N140"/>
      <c r="O140"/>
      <c r="P140"/>
    </row>
    <row r="141" spans="1:16">
      <c r="A141" s="92" t="s">
        <v>63</v>
      </c>
      <c r="B141" s="101" t="s">
        <v>772</v>
      </c>
      <c r="C141" s="107"/>
      <c r="D141" s="92" t="s">
        <v>625</v>
      </c>
      <c r="E141" s="92" t="s">
        <v>625</v>
      </c>
      <c r="F141" s="92"/>
      <c r="G141" s="8"/>
      <c r="L141"/>
      <c r="M141"/>
      <c r="N141"/>
      <c r="O141"/>
      <c r="P141"/>
    </row>
    <row r="142" spans="1:16">
      <c r="A142" s="92" t="s">
        <v>63</v>
      </c>
      <c r="B142" s="101" t="s">
        <v>773</v>
      </c>
      <c r="C142" s="107"/>
      <c r="D142" s="92" t="s">
        <v>625</v>
      </c>
      <c r="E142" s="92" t="s">
        <v>625</v>
      </c>
      <c r="F142" s="92"/>
      <c r="G142" s="8"/>
      <c r="L142"/>
      <c r="M142"/>
      <c r="N142"/>
      <c r="O142"/>
      <c r="P142"/>
    </row>
    <row r="143" spans="1:16">
      <c r="A143" s="92" t="s">
        <v>63</v>
      </c>
      <c r="B143" s="101" t="s">
        <v>774</v>
      </c>
      <c r="C143" s="107">
        <v>45376</v>
      </c>
      <c r="D143" s="92" t="s">
        <v>10</v>
      </c>
      <c r="E143" s="92" t="s">
        <v>10</v>
      </c>
      <c r="F143" s="92"/>
      <c r="G143" s="8"/>
      <c r="L143"/>
      <c r="M143"/>
      <c r="N143"/>
      <c r="O143"/>
      <c r="P143"/>
    </row>
    <row r="144" spans="1:16">
      <c r="A144" s="92" t="s">
        <v>63</v>
      </c>
      <c r="B144" s="101" t="s">
        <v>775</v>
      </c>
      <c r="C144" s="107">
        <v>43318</v>
      </c>
      <c r="D144" s="92" t="s">
        <v>10</v>
      </c>
      <c r="E144" s="92" t="s">
        <v>10</v>
      </c>
      <c r="F144" s="92"/>
      <c r="G144" s="8"/>
      <c r="L144"/>
      <c r="M144"/>
      <c r="N144"/>
      <c r="O144"/>
      <c r="P144"/>
    </row>
    <row r="145" spans="1:16">
      <c r="A145" s="92" t="s">
        <v>63</v>
      </c>
      <c r="B145" s="101" t="s">
        <v>776</v>
      </c>
      <c r="C145" s="107"/>
      <c r="D145" s="92" t="s">
        <v>625</v>
      </c>
      <c r="E145" s="92" t="s">
        <v>625</v>
      </c>
      <c r="F145" s="92"/>
      <c r="G145" s="8"/>
      <c r="L145"/>
      <c r="M145"/>
      <c r="N145"/>
      <c r="O145"/>
      <c r="P145"/>
    </row>
    <row r="146" spans="1:16">
      <c r="A146" s="92" t="s">
        <v>63</v>
      </c>
      <c r="B146" s="101" t="s">
        <v>777</v>
      </c>
      <c r="C146" s="107">
        <v>45376</v>
      </c>
      <c r="D146" s="92" t="s">
        <v>10</v>
      </c>
      <c r="E146" s="92" t="s">
        <v>10</v>
      </c>
      <c r="F146" s="92"/>
      <c r="G146" s="8"/>
      <c r="L146"/>
      <c r="M146"/>
      <c r="N146"/>
      <c r="O146"/>
      <c r="P146"/>
    </row>
    <row r="147" spans="1:16">
      <c r="A147" s="92" t="s">
        <v>63</v>
      </c>
      <c r="B147" s="101" t="s">
        <v>778</v>
      </c>
      <c r="C147" s="108">
        <v>45361</v>
      </c>
      <c r="D147" s="92" t="s">
        <v>10</v>
      </c>
      <c r="E147" s="92" t="s">
        <v>10</v>
      </c>
      <c r="F147" s="92"/>
      <c r="G147" s="8"/>
      <c r="L147"/>
      <c r="M147"/>
      <c r="N147"/>
      <c r="O147"/>
      <c r="P147"/>
    </row>
    <row r="148" spans="1:16">
      <c r="A148" s="92" t="s">
        <v>8</v>
      </c>
      <c r="B148" s="101" t="s">
        <v>779</v>
      </c>
      <c r="C148" s="107"/>
      <c r="D148" s="92" t="s">
        <v>625</v>
      </c>
      <c r="E148" s="92" t="s">
        <v>625</v>
      </c>
      <c r="F148" s="92"/>
      <c r="G148" s="8"/>
      <c r="L148"/>
      <c r="M148"/>
      <c r="N148"/>
      <c r="O148"/>
      <c r="P148"/>
    </row>
    <row r="149" spans="1:16">
      <c r="A149" s="92" t="s">
        <v>8</v>
      </c>
      <c r="B149" s="101" t="s">
        <v>780</v>
      </c>
      <c r="C149" s="107">
        <v>45376</v>
      </c>
      <c r="D149" s="92" t="s">
        <v>10</v>
      </c>
      <c r="E149" s="92" t="s">
        <v>10</v>
      </c>
      <c r="F149" s="92"/>
      <c r="G149" s="8"/>
      <c r="L149"/>
      <c r="M149"/>
      <c r="N149"/>
      <c r="O149"/>
      <c r="P149"/>
    </row>
    <row r="150" spans="1:16">
      <c r="A150" s="92" t="s">
        <v>8</v>
      </c>
      <c r="B150" s="101" t="s">
        <v>781</v>
      </c>
      <c r="C150" s="107"/>
      <c r="D150" s="92" t="s">
        <v>625</v>
      </c>
      <c r="E150" s="92" t="s">
        <v>625</v>
      </c>
      <c r="F150" s="92"/>
      <c r="G150" s="8"/>
      <c r="L150"/>
      <c r="M150"/>
      <c r="N150"/>
      <c r="O150"/>
      <c r="P150"/>
    </row>
    <row r="151" spans="1:16">
      <c r="A151" s="92" t="s">
        <v>8</v>
      </c>
      <c r="B151" s="101" t="s">
        <v>782</v>
      </c>
      <c r="C151" s="107">
        <v>45376</v>
      </c>
      <c r="D151" s="92" t="s">
        <v>10</v>
      </c>
      <c r="E151" s="92" t="s">
        <v>10</v>
      </c>
      <c r="F151" s="92"/>
      <c r="G151" s="8"/>
      <c r="L151"/>
      <c r="M151"/>
      <c r="N151"/>
      <c r="O151"/>
      <c r="P151"/>
    </row>
    <row r="152" spans="1:16">
      <c r="A152" s="92" t="s">
        <v>8</v>
      </c>
      <c r="B152" s="101" t="s">
        <v>783</v>
      </c>
      <c r="C152" s="107"/>
      <c r="D152" s="92" t="s">
        <v>625</v>
      </c>
      <c r="E152" s="92" t="s">
        <v>625</v>
      </c>
      <c r="F152" s="92"/>
      <c r="G152" s="8"/>
      <c r="L152"/>
      <c r="M152"/>
      <c r="N152"/>
      <c r="O152"/>
      <c r="P152"/>
    </row>
    <row r="153" spans="1:16">
      <c r="A153" s="92" t="s">
        <v>8</v>
      </c>
      <c r="B153" s="101" t="s">
        <v>784</v>
      </c>
      <c r="C153" s="107">
        <v>45376</v>
      </c>
      <c r="D153" s="92" t="s">
        <v>10</v>
      </c>
      <c r="E153" s="92" t="s">
        <v>10</v>
      </c>
      <c r="F153" s="92"/>
      <c r="G153" s="8"/>
      <c r="L153"/>
      <c r="M153"/>
      <c r="N153"/>
      <c r="O153"/>
      <c r="P153"/>
    </row>
    <row r="154" spans="1:16">
      <c r="A154" s="92" t="s">
        <v>8</v>
      </c>
      <c r="B154" s="101" t="s">
        <v>785</v>
      </c>
      <c r="C154" s="107">
        <v>45376</v>
      </c>
      <c r="D154" s="92" t="s">
        <v>10</v>
      </c>
      <c r="E154" s="92" t="s">
        <v>10</v>
      </c>
      <c r="F154" s="92"/>
      <c r="G154" s="8"/>
      <c r="L154"/>
      <c r="M154"/>
      <c r="N154"/>
      <c r="O154"/>
      <c r="P154"/>
    </row>
    <row r="155" spans="1:16">
      <c r="A155" s="92" t="s">
        <v>8</v>
      </c>
      <c r="B155" s="101" t="s">
        <v>786</v>
      </c>
      <c r="C155" s="107">
        <v>45376</v>
      </c>
      <c r="D155" s="92" t="s">
        <v>10</v>
      </c>
      <c r="E155" s="92" t="s">
        <v>10</v>
      </c>
      <c r="F155" s="92"/>
      <c r="G155" s="8"/>
      <c r="L155"/>
      <c r="M155"/>
      <c r="N155"/>
      <c r="O155"/>
      <c r="P155"/>
    </row>
    <row r="156" spans="1:16">
      <c r="A156" s="92" t="s">
        <v>17</v>
      </c>
      <c r="B156" s="101" t="s">
        <v>787</v>
      </c>
      <c r="C156" s="107"/>
      <c r="D156" s="92" t="s">
        <v>625</v>
      </c>
      <c r="E156" s="92" t="s">
        <v>625</v>
      </c>
      <c r="F156" s="92"/>
      <c r="G156" s="8"/>
      <c r="L156"/>
      <c r="M156"/>
      <c r="N156"/>
      <c r="O156"/>
      <c r="P156"/>
    </row>
    <row r="157" spans="1:16">
      <c r="A157" s="92" t="s">
        <v>17</v>
      </c>
      <c r="B157" s="101" t="s">
        <v>788</v>
      </c>
      <c r="C157" s="107">
        <v>45376</v>
      </c>
      <c r="D157" s="92" t="s">
        <v>10</v>
      </c>
      <c r="E157" s="92" t="s">
        <v>10</v>
      </c>
      <c r="F157" s="92"/>
      <c r="G157" s="8"/>
      <c r="L157"/>
      <c r="M157"/>
      <c r="N157"/>
      <c r="O157"/>
      <c r="P157"/>
    </row>
    <row r="158" spans="1:16">
      <c r="A158" s="92" t="s">
        <v>17</v>
      </c>
      <c r="B158" s="101" t="s">
        <v>789</v>
      </c>
      <c r="C158" s="107"/>
      <c r="D158" s="92" t="s">
        <v>625</v>
      </c>
      <c r="E158" s="92" t="s">
        <v>625</v>
      </c>
      <c r="F158" s="92"/>
      <c r="G158" s="8"/>
      <c r="L158"/>
      <c r="M158"/>
      <c r="N158"/>
      <c r="O158"/>
      <c r="P158"/>
    </row>
    <row r="159" spans="1:16">
      <c r="A159" s="92" t="s">
        <v>17</v>
      </c>
      <c r="B159" s="101" t="s">
        <v>790</v>
      </c>
      <c r="C159" s="107">
        <v>45376</v>
      </c>
      <c r="D159" s="92" t="s">
        <v>10</v>
      </c>
      <c r="E159" s="92" t="s">
        <v>10</v>
      </c>
      <c r="F159" s="92"/>
      <c r="G159" s="8"/>
      <c r="L159"/>
      <c r="M159"/>
      <c r="N159"/>
      <c r="O159"/>
      <c r="P159"/>
    </row>
    <row r="160" spans="1:16">
      <c r="A160" s="92" t="s">
        <v>17</v>
      </c>
      <c r="B160" s="101" t="s">
        <v>791</v>
      </c>
      <c r="C160" s="107">
        <v>45376</v>
      </c>
      <c r="D160" s="92" t="s">
        <v>10</v>
      </c>
      <c r="E160" s="92" t="s">
        <v>10</v>
      </c>
      <c r="F160" s="92"/>
      <c r="G160" s="8"/>
      <c r="L160"/>
      <c r="M160"/>
      <c r="N160"/>
      <c r="O160"/>
      <c r="P160"/>
    </row>
    <row r="161" spans="1:16">
      <c r="A161" s="92" t="s">
        <v>17</v>
      </c>
      <c r="B161" s="101" t="s">
        <v>792</v>
      </c>
      <c r="C161" s="107">
        <v>45376</v>
      </c>
      <c r="D161" s="92" t="s">
        <v>10</v>
      </c>
      <c r="E161" s="92" t="s">
        <v>10</v>
      </c>
      <c r="F161" s="92"/>
      <c r="G161" s="8"/>
      <c r="L161"/>
      <c r="M161"/>
      <c r="N161"/>
      <c r="O161"/>
      <c r="P161"/>
    </row>
    <row r="162" spans="1:16">
      <c r="A162" s="92" t="s">
        <v>17</v>
      </c>
      <c r="B162" s="101" t="s">
        <v>793</v>
      </c>
      <c r="C162" s="107">
        <v>45376</v>
      </c>
      <c r="D162" s="92" t="s">
        <v>10</v>
      </c>
      <c r="E162" s="92" t="s">
        <v>10</v>
      </c>
      <c r="F162" s="92"/>
      <c r="G162" s="8"/>
      <c r="L162"/>
      <c r="M162"/>
      <c r="N162"/>
      <c r="O162"/>
      <c r="P162"/>
    </row>
    <row r="163" spans="1:16">
      <c r="A163" s="92" t="s">
        <v>17</v>
      </c>
      <c r="B163" s="101" t="s">
        <v>794</v>
      </c>
      <c r="C163" s="107"/>
      <c r="D163" s="92" t="s">
        <v>625</v>
      </c>
      <c r="E163" s="92" t="s">
        <v>625</v>
      </c>
      <c r="F163" s="92"/>
      <c r="G163" s="8"/>
      <c r="L163"/>
      <c r="M163"/>
      <c r="N163"/>
      <c r="O163"/>
      <c r="P163"/>
    </row>
    <row r="164" spans="1:16">
      <c r="A164" s="92" t="s">
        <v>17</v>
      </c>
      <c r="B164" s="101" t="s">
        <v>795</v>
      </c>
      <c r="C164" s="107">
        <v>45376</v>
      </c>
      <c r="D164" s="92" t="s">
        <v>10</v>
      </c>
      <c r="E164" s="92" t="s">
        <v>10</v>
      </c>
      <c r="F164" s="92"/>
      <c r="G164" s="8"/>
      <c r="L164"/>
      <c r="M164"/>
      <c r="N164"/>
      <c r="O164"/>
      <c r="P164"/>
    </row>
    <row r="165" spans="1:16">
      <c r="A165" s="92" t="s">
        <v>31</v>
      </c>
      <c r="B165" s="101" t="s">
        <v>796</v>
      </c>
      <c r="C165" s="107"/>
      <c r="D165" s="92" t="s">
        <v>625</v>
      </c>
      <c r="E165" s="92" t="s">
        <v>625</v>
      </c>
      <c r="F165" s="92"/>
      <c r="G165" s="8"/>
      <c r="L165"/>
      <c r="M165"/>
      <c r="N165"/>
      <c r="O165"/>
      <c r="P165"/>
    </row>
    <row r="166" spans="1:16">
      <c r="A166" s="92" t="s">
        <v>31</v>
      </c>
      <c r="B166" s="101" t="s">
        <v>797</v>
      </c>
      <c r="C166" s="107"/>
      <c r="D166" s="92" t="s">
        <v>625</v>
      </c>
      <c r="E166" s="92" t="s">
        <v>625</v>
      </c>
      <c r="F166" s="92"/>
      <c r="G166" s="8"/>
      <c r="L166"/>
      <c r="M166"/>
      <c r="N166"/>
      <c r="O166"/>
      <c r="P166"/>
    </row>
    <row r="167" spans="1:16">
      <c r="A167" s="92" t="s">
        <v>31</v>
      </c>
      <c r="B167" s="101" t="s">
        <v>798</v>
      </c>
      <c r="C167" s="107"/>
      <c r="D167" s="92" t="s">
        <v>625</v>
      </c>
      <c r="E167" s="92" t="s">
        <v>625</v>
      </c>
      <c r="F167" s="92"/>
      <c r="G167" s="8"/>
      <c r="L167"/>
      <c r="M167"/>
      <c r="N167"/>
      <c r="O167"/>
      <c r="P167"/>
    </row>
    <row r="168" spans="1:16">
      <c r="A168" s="92" t="s">
        <v>31</v>
      </c>
      <c r="B168" s="101" t="s">
        <v>799</v>
      </c>
      <c r="C168" s="107"/>
      <c r="D168" s="92" t="s">
        <v>625</v>
      </c>
      <c r="E168" s="92" t="s">
        <v>625</v>
      </c>
      <c r="F168" s="92"/>
      <c r="G168" s="8"/>
      <c r="L168"/>
      <c r="M168"/>
      <c r="N168"/>
      <c r="O168"/>
      <c r="P168"/>
    </row>
    <row r="169" spans="1:16">
      <c r="A169" s="92" t="s">
        <v>31</v>
      </c>
      <c r="B169" s="101" t="s">
        <v>800</v>
      </c>
      <c r="C169" s="107"/>
      <c r="D169" s="92" t="s">
        <v>625</v>
      </c>
      <c r="E169" s="92" t="s">
        <v>625</v>
      </c>
      <c r="F169" s="92"/>
      <c r="G169" s="8"/>
      <c r="L169"/>
      <c r="M169"/>
      <c r="N169"/>
      <c r="O169"/>
      <c r="P169"/>
    </row>
    <row r="170" spans="1:16">
      <c r="A170" s="92" t="s">
        <v>31</v>
      </c>
      <c r="B170" s="101" t="s">
        <v>801</v>
      </c>
      <c r="C170" s="107">
        <v>45376</v>
      </c>
      <c r="D170" s="92" t="s">
        <v>10</v>
      </c>
      <c r="E170" s="92" t="s">
        <v>10</v>
      </c>
      <c r="F170" s="92"/>
      <c r="G170" s="8"/>
      <c r="L170"/>
      <c r="M170"/>
      <c r="N170"/>
      <c r="O170"/>
      <c r="P170"/>
    </row>
    <row r="171" spans="1:16">
      <c r="A171" s="92" t="s">
        <v>31</v>
      </c>
      <c r="B171" s="101" t="s">
        <v>802</v>
      </c>
      <c r="C171" s="107"/>
      <c r="D171" s="92" t="s">
        <v>625</v>
      </c>
      <c r="E171" s="92" t="s">
        <v>625</v>
      </c>
      <c r="F171" s="92"/>
      <c r="G171" s="8"/>
      <c r="L171"/>
      <c r="M171"/>
      <c r="N171"/>
      <c r="O171"/>
      <c r="P171"/>
    </row>
    <row r="172" spans="1:16">
      <c r="A172" s="92" t="s">
        <v>31</v>
      </c>
      <c r="B172" s="101" t="s">
        <v>803</v>
      </c>
      <c r="C172" s="107"/>
      <c r="D172" s="92" t="s">
        <v>625</v>
      </c>
      <c r="E172" s="92" t="s">
        <v>625</v>
      </c>
      <c r="F172" s="92"/>
      <c r="G172" s="8"/>
      <c r="L172"/>
      <c r="M172"/>
      <c r="N172"/>
      <c r="O172"/>
      <c r="P172"/>
    </row>
    <row r="173" spans="1:16">
      <c r="A173" s="92" t="s">
        <v>31</v>
      </c>
      <c r="B173" s="101" t="s">
        <v>804</v>
      </c>
      <c r="C173" s="107"/>
      <c r="D173" s="92" t="s">
        <v>625</v>
      </c>
      <c r="E173" s="92" t="s">
        <v>625</v>
      </c>
      <c r="F173" s="92"/>
      <c r="G173" s="8"/>
      <c r="L173"/>
      <c r="M173"/>
      <c r="N173"/>
      <c r="O173"/>
      <c r="P173"/>
    </row>
    <row r="174" spans="1:16">
      <c r="A174" s="92" t="s">
        <v>31</v>
      </c>
      <c r="B174" s="101" t="s">
        <v>805</v>
      </c>
      <c r="C174" s="107"/>
      <c r="D174" s="92" t="s">
        <v>625</v>
      </c>
      <c r="E174" s="92" t="s">
        <v>625</v>
      </c>
      <c r="F174" s="92"/>
      <c r="G174" s="8"/>
      <c r="L174"/>
      <c r="M174"/>
      <c r="N174"/>
      <c r="O174"/>
      <c r="P174"/>
    </row>
    <row r="175" spans="1:16">
      <c r="A175" s="92" t="s">
        <v>31</v>
      </c>
      <c r="B175" s="101" t="s">
        <v>806</v>
      </c>
      <c r="C175" s="108"/>
      <c r="D175" s="92" t="s">
        <v>625</v>
      </c>
      <c r="E175" s="92" t="s">
        <v>625</v>
      </c>
      <c r="F175" s="92"/>
      <c r="G175" s="8"/>
      <c r="L175"/>
      <c r="M175"/>
      <c r="N175"/>
      <c r="O175"/>
      <c r="P175"/>
    </row>
    <row r="176" spans="1:16">
      <c r="A176" s="92" t="s">
        <v>125</v>
      </c>
      <c r="B176" s="101" t="s">
        <v>807</v>
      </c>
      <c r="C176" s="101"/>
      <c r="D176" s="92" t="s">
        <v>625</v>
      </c>
      <c r="E176" s="92" t="s">
        <v>625</v>
      </c>
      <c r="F176" s="92"/>
      <c r="G176" s="8"/>
      <c r="L176"/>
      <c r="M176"/>
      <c r="N176"/>
      <c r="O176"/>
      <c r="P176"/>
    </row>
    <row r="177" spans="1:16">
      <c r="A177" s="92" t="s">
        <v>125</v>
      </c>
      <c r="B177" s="101" t="s">
        <v>808</v>
      </c>
      <c r="C177" s="101"/>
      <c r="D177" s="92" t="s">
        <v>625</v>
      </c>
      <c r="E177" s="92" t="s">
        <v>625</v>
      </c>
      <c r="F177" s="92"/>
      <c r="G177" s="8"/>
      <c r="L177"/>
      <c r="M177"/>
      <c r="N177"/>
      <c r="O177"/>
      <c r="P177"/>
    </row>
    <row r="178" spans="1:16">
      <c r="A178" s="92" t="s">
        <v>125</v>
      </c>
      <c r="B178" s="101" t="s">
        <v>809</v>
      </c>
      <c r="C178" s="111"/>
      <c r="D178" s="92" t="s">
        <v>625</v>
      </c>
      <c r="E178" s="92" t="s">
        <v>625</v>
      </c>
      <c r="F178" s="92"/>
      <c r="G178" s="8"/>
      <c r="L178"/>
      <c r="M178"/>
      <c r="N178"/>
      <c r="O178"/>
      <c r="P178"/>
    </row>
    <row r="179" spans="1:16">
      <c r="A179" s="92" t="s">
        <v>71</v>
      </c>
      <c r="B179" s="101" t="s">
        <v>810</v>
      </c>
      <c r="C179" s="101"/>
      <c r="D179" s="92" t="s">
        <v>625</v>
      </c>
      <c r="E179" s="92" t="s">
        <v>625</v>
      </c>
      <c r="F179" s="92"/>
      <c r="G179" s="8"/>
      <c r="L179"/>
      <c r="M179"/>
      <c r="N179"/>
      <c r="O179"/>
      <c r="P179"/>
    </row>
    <row r="180" spans="1:16">
      <c r="A180" s="92" t="s">
        <v>71</v>
      </c>
      <c r="B180" s="101" t="s">
        <v>811</v>
      </c>
      <c r="C180" s="111"/>
      <c r="D180" s="92" t="s">
        <v>625</v>
      </c>
      <c r="E180" s="92" t="s">
        <v>625</v>
      </c>
      <c r="F180" s="92"/>
      <c r="G180" s="8"/>
      <c r="L180"/>
      <c r="M180"/>
      <c r="N180"/>
      <c r="O180"/>
      <c r="P180"/>
    </row>
    <row r="181" spans="1:16">
      <c r="A181" s="92" t="s">
        <v>189</v>
      </c>
      <c r="B181" s="113" t="s">
        <v>812</v>
      </c>
      <c r="C181" s="99"/>
      <c r="D181" s="92" t="s">
        <v>625</v>
      </c>
      <c r="E181" s="92" t="s">
        <v>625</v>
      </c>
      <c r="F181" s="92"/>
      <c r="G181" s="8"/>
      <c r="L181"/>
      <c r="M181"/>
      <c r="N181"/>
      <c r="O181"/>
      <c r="P181"/>
    </row>
    <row r="182" spans="1:16">
      <c r="L182"/>
      <c r="M182"/>
      <c r="N182"/>
      <c r="O182"/>
      <c r="P182"/>
    </row>
    <row r="183" spans="1:16">
      <c r="L183"/>
      <c r="M183"/>
      <c r="N183"/>
      <c r="O183"/>
      <c r="P183"/>
    </row>
    <row r="184" spans="1:16">
      <c r="L184"/>
      <c r="M184"/>
      <c r="N184"/>
      <c r="O184"/>
      <c r="P184"/>
    </row>
    <row r="185" spans="1:16">
      <c r="L185"/>
      <c r="M185"/>
      <c r="N185"/>
      <c r="O185"/>
      <c r="P185"/>
    </row>
    <row r="186" spans="1:16">
      <c r="L186"/>
      <c r="M186"/>
      <c r="N186"/>
      <c r="O186"/>
      <c r="P186"/>
    </row>
    <row r="187" spans="1:16">
      <c r="L187"/>
      <c r="M187"/>
      <c r="N187"/>
      <c r="O187"/>
      <c r="P187"/>
    </row>
    <row r="188" spans="1:16">
      <c r="L188"/>
      <c r="M188"/>
      <c r="N188"/>
      <c r="O188"/>
      <c r="P188"/>
    </row>
    <row r="189" spans="1:16">
      <c r="L189"/>
      <c r="M189"/>
      <c r="N189"/>
      <c r="O189"/>
      <c r="P189"/>
    </row>
    <row r="190" spans="1:16">
      <c r="L190"/>
      <c r="M190"/>
      <c r="N190"/>
      <c r="O190"/>
      <c r="P190"/>
    </row>
    <row r="191" spans="1:16">
      <c r="L191"/>
      <c r="M191"/>
      <c r="N191"/>
      <c r="O191"/>
      <c r="P191"/>
    </row>
    <row r="192" spans="1:16">
      <c r="L192"/>
      <c r="M192"/>
      <c r="N192"/>
      <c r="O192"/>
      <c r="P192"/>
    </row>
    <row r="193" spans="12:16">
      <c r="L193"/>
      <c r="M193"/>
      <c r="N193"/>
      <c r="O193"/>
      <c r="P193"/>
    </row>
    <row r="194" spans="12:16">
      <c r="L194"/>
      <c r="M194"/>
      <c r="N194"/>
      <c r="O194"/>
      <c r="P194"/>
    </row>
    <row r="195" spans="12:16">
      <c r="L195"/>
      <c r="M195"/>
      <c r="N195"/>
      <c r="O195"/>
      <c r="P195"/>
    </row>
    <row r="196" spans="12:16">
      <c r="L196"/>
      <c r="M196"/>
      <c r="N196"/>
      <c r="O196"/>
      <c r="P196"/>
    </row>
    <row r="197" spans="12:16">
      <c r="L197"/>
      <c r="M197"/>
      <c r="N197"/>
      <c r="O197"/>
      <c r="P197"/>
    </row>
    <row r="198" spans="12:16">
      <c r="L198"/>
      <c r="M198"/>
      <c r="N198"/>
      <c r="O198"/>
      <c r="P198"/>
    </row>
    <row r="199" spans="12:16">
      <c r="L199"/>
      <c r="M199"/>
      <c r="N199"/>
      <c r="O199"/>
      <c r="P199"/>
    </row>
    <row r="200" spans="12:16">
      <c r="L200"/>
      <c r="M200"/>
      <c r="N200"/>
      <c r="O200"/>
      <c r="P200"/>
    </row>
    <row r="201" spans="12:16">
      <c r="L201"/>
      <c r="M201"/>
      <c r="N201"/>
      <c r="O201"/>
      <c r="P201"/>
    </row>
    <row r="202" spans="12:16">
      <c r="L202"/>
      <c r="M202"/>
      <c r="N202"/>
      <c r="O202"/>
      <c r="P202"/>
    </row>
    <row r="203" spans="12:16">
      <c r="L203"/>
      <c r="M203"/>
      <c r="N203"/>
      <c r="O203"/>
      <c r="P203"/>
    </row>
    <row r="204" spans="12:16">
      <c r="L204"/>
      <c r="M204"/>
      <c r="N204"/>
      <c r="O204"/>
      <c r="P204"/>
    </row>
    <row r="205" spans="12:16">
      <c r="L205"/>
      <c r="M205"/>
      <c r="N205"/>
      <c r="O205"/>
      <c r="P205"/>
    </row>
    <row r="206" spans="12:16">
      <c r="L206"/>
      <c r="M206"/>
      <c r="N206"/>
      <c r="O206"/>
      <c r="P206"/>
    </row>
    <row r="207" spans="12:16">
      <c r="L207"/>
      <c r="M207"/>
      <c r="N207"/>
      <c r="O207"/>
      <c r="P207"/>
    </row>
    <row r="208" spans="12:16">
      <c r="L208"/>
      <c r="M208"/>
      <c r="N208"/>
      <c r="O208"/>
      <c r="P208"/>
    </row>
    <row r="209" spans="12:16">
      <c r="L209"/>
      <c r="M209"/>
      <c r="N209"/>
      <c r="O209"/>
      <c r="P209"/>
    </row>
    <row r="210" spans="12:16">
      <c r="L210"/>
      <c r="M210"/>
      <c r="N210"/>
      <c r="O210"/>
      <c r="P210"/>
    </row>
    <row r="211" spans="12:16">
      <c r="L211"/>
      <c r="M211"/>
      <c r="N211"/>
      <c r="O211"/>
      <c r="P211"/>
    </row>
    <row r="212" spans="12:16">
      <c r="L212"/>
      <c r="M212"/>
      <c r="N212"/>
      <c r="O212"/>
      <c r="P212"/>
    </row>
    <row r="213" spans="12:16">
      <c r="L213"/>
      <c r="M213"/>
      <c r="N213"/>
      <c r="O213"/>
      <c r="P213"/>
    </row>
    <row r="214" spans="12:16">
      <c r="L214"/>
      <c r="M214"/>
      <c r="N214"/>
      <c r="O214"/>
      <c r="P214"/>
    </row>
    <row r="215" spans="12:16">
      <c r="L215"/>
      <c r="M215"/>
      <c r="N215"/>
      <c r="O215"/>
      <c r="P215"/>
    </row>
    <row r="216" spans="12:16">
      <c r="L216"/>
      <c r="M216"/>
      <c r="N216"/>
      <c r="O216"/>
      <c r="P216"/>
    </row>
    <row r="217" spans="12:16">
      <c r="L217"/>
      <c r="M217"/>
      <c r="N217"/>
      <c r="O217"/>
      <c r="P217"/>
    </row>
    <row r="218" spans="12:16">
      <c r="L218"/>
      <c r="M218"/>
      <c r="N218"/>
      <c r="O218"/>
      <c r="P218"/>
    </row>
    <row r="219" spans="12:16">
      <c r="L219"/>
      <c r="M219"/>
      <c r="N219"/>
      <c r="O219"/>
      <c r="P219"/>
    </row>
    <row r="220" spans="12:16">
      <c r="L220"/>
      <c r="M220"/>
      <c r="N220"/>
      <c r="O220"/>
      <c r="P220"/>
    </row>
    <row r="221" spans="12:16">
      <c r="L221"/>
      <c r="M221"/>
      <c r="N221"/>
      <c r="O221"/>
      <c r="P221"/>
    </row>
    <row r="222" spans="12:16">
      <c r="L222"/>
      <c r="M222"/>
      <c r="N222"/>
      <c r="O222"/>
      <c r="P222"/>
    </row>
    <row r="223" spans="12:16">
      <c r="L223"/>
      <c r="M223"/>
      <c r="N223"/>
      <c r="O223"/>
      <c r="P223"/>
    </row>
    <row r="224" spans="12:16">
      <c r="L224"/>
      <c r="M224"/>
      <c r="N224"/>
      <c r="O224"/>
      <c r="P224"/>
    </row>
    <row r="225" spans="12:16">
      <c r="L225"/>
      <c r="M225"/>
      <c r="N225"/>
      <c r="O225"/>
      <c r="P225"/>
    </row>
    <row r="226" spans="12:16">
      <c r="L226"/>
      <c r="M226"/>
      <c r="N226"/>
      <c r="O226"/>
      <c r="P226"/>
    </row>
    <row r="227" spans="12:16">
      <c r="L227"/>
      <c r="M227"/>
      <c r="N227"/>
      <c r="O227"/>
      <c r="P227"/>
    </row>
    <row r="228" spans="12:16">
      <c r="L228"/>
      <c r="M228"/>
      <c r="N228"/>
      <c r="O228"/>
      <c r="P228"/>
    </row>
    <row r="229" spans="12:16">
      <c r="L229"/>
      <c r="M229"/>
      <c r="N229"/>
      <c r="O229"/>
      <c r="P229"/>
    </row>
    <row r="230" spans="12:16">
      <c r="L230"/>
      <c r="M230"/>
      <c r="N230"/>
      <c r="O230"/>
      <c r="P230"/>
    </row>
    <row r="231" spans="12:16">
      <c r="L231"/>
      <c r="M231"/>
      <c r="N231"/>
      <c r="O231"/>
      <c r="P231"/>
    </row>
    <row r="232" spans="12:16">
      <c r="L232"/>
      <c r="M232"/>
      <c r="N232"/>
      <c r="O232"/>
      <c r="P232"/>
    </row>
    <row r="233" spans="12:16">
      <c r="L233"/>
      <c r="M233"/>
      <c r="N233"/>
      <c r="O233"/>
      <c r="P233"/>
    </row>
    <row r="234" spans="12:16">
      <c r="L234"/>
      <c r="M234"/>
      <c r="N234"/>
      <c r="O234"/>
      <c r="P234"/>
    </row>
    <row r="235" spans="12:16">
      <c r="L235"/>
      <c r="M235"/>
      <c r="N235"/>
      <c r="O235"/>
      <c r="P235"/>
    </row>
    <row r="236" spans="12:16">
      <c r="L236"/>
      <c r="M236"/>
      <c r="N236"/>
      <c r="O236"/>
      <c r="P236"/>
    </row>
    <row r="237" spans="12:16">
      <c r="L237"/>
      <c r="M237"/>
      <c r="N237"/>
      <c r="O237"/>
      <c r="P237"/>
    </row>
    <row r="238" spans="12:16">
      <c r="L238"/>
      <c r="M238"/>
      <c r="N238"/>
      <c r="O238"/>
      <c r="P238"/>
    </row>
    <row r="239" spans="12:16">
      <c r="L239"/>
      <c r="M239"/>
      <c r="N239"/>
      <c r="O239"/>
      <c r="P239"/>
    </row>
    <row r="240" spans="12:16">
      <c r="L240"/>
      <c r="M240"/>
      <c r="N240"/>
      <c r="O240"/>
      <c r="P240"/>
    </row>
    <row r="241" spans="12:16">
      <c r="L241"/>
      <c r="M241"/>
      <c r="N241"/>
      <c r="O241"/>
      <c r="P241"/>
    </row>
    <row r="242" spans="12:16">
      <c r="L242"/>
      <c r="M242"/>
      <c r="N242"/>
      <c r="O242"/>
      <c r="P242"/>
    </row>
    <row r="243" spans="12:16">
      <c r="L243"/>
      <c r="M243"/>
      <c r="N243"/>
      <c r="O243"/>
      <c r="P243"/>
    </row>
    <row r="244" spans="12:16">
      <c r="L244"/>
      <c r="M244"/>
      <c r="N244"/>
      <c r="O244"/>
      <c r="P244"/>
    </row>
    <row r="245" spans="12:16">
      <c r="L245"/>
      <c r="M245"/>
      <c r="N245"/>
      <c r="O245"/>
      <c r="P245"/>
    </row>
    <row r="246" spans="12:16">
      <c r="L246"/>
      <c r="M246"/>
      <c r="N246"/>
      <c r="O246"/>
      <c r="P246"/>
    </row>
    <row r="247" spans="12:16">
      <c r="L247"/>
      <c r="M247"/>
      <c r="N247"/>
      <c r="O247"/>
      <c r="P247"/>
    </row>
    <row r="248" spans="12:16">
      <c r="L248"/>
      <c r="M248"/>
      <c r="N248"/>
      <c r="O248"/>
      <c r="P248"/>
    </row>
    <row r="249" spans="12:16">
      <c r="L249"/>
      <c r="M249"/>
      <c r="N249"/>
      <c r="O249"/>
      <c r="P249"/>
    </row>
    <row r="250" spans="12:16">
      <c r="L250"/>
      <c r="M250"/>
      <c r="N250"/>
      <c r="O250"/>
      <c r="P250"/>
    </row>
    <row r="251" spans="12:16">
      <c r="L251"/>
      <c r="M251"/>
      <c r="N251"/>
      <c r="O251"/>
      <c r="P251"/>
    </row>
    <row r="252" spans="12:16">
      <c r="L252"/>
      <c r="M252"/>
      <c r="N252"/>
      <c r="O252"/>
      <c r="P252"/>
    </row>
    <row r="253" spans="12:16">
      <c r="L253"/>
      <c r="M253"/>
      <c r="N253"/>
      <c r="O253"/>
      <c r="P253"/>
    </row>
    <row r="254" spans="12:16">
      <c r="L254"/>
      <c r="M254"/>
      <c r="N254"/>
      <c r="O254"/>
      <c r="P254"/>
    </row>
    <row r="255" spans="12:16">
      <c r="L255"/>
      <c r="M255"/>
      <c r="N255"/>
      <c r="O255"/>
      <c r="P255"/>
    </row>
    <row r="256" spans="12:16">
      <c r="L256"/>
      <c r="M256"/>
      <c r="N256"/>
      <c r="O256"/>
      <c r="P256"/>
    </row>
    <row r="257" spans="12:16">
      <c r="L257"/>
      <c r="M257"/>
      <c r="N257"/>
      <c r="O257"/>
      <c r="P257"/>
    </row>
    <row r="258" spans="12:16">
      <c r="L258"/>
      <c r="M258"/>
      <c r="N258"/>
      <c r="O258"/>
      <c r="P258"/>
    </row>
    <row r="259" spans="12:16">
      <c r="L259"/>
      <c r="M259"/>
      <c r="N259"/>
      <c r="O259"/>
      <c r="P259"/>
    </row>
    <row r="260" spans="12:16">
      <c r="L260"/>
      <c r="M260"/>
      <c r="N260"/>
      <c r="O260"/>
      <c r="P260"/>
    </row>
    <row r="261" spans="12:16">
      <c r="L261"/>
      <c r="M261"/>
      <c r="N261"/>
      <c r="O261"/>
      <c r="P261"/>
    </row>
    <row r="262" spans="12:16">
      <c r="L262"/>
      <c r="M262"/>
      <c r="N262"/>
      <c r="O262"/>
      <c r="P262"/>
    </row>
    <row r="263" spans="12:16">
      <c r="L263"/>
      <c r="M263"/>
      <c r="N263"/>
      <c r="O263"/>
      <c r="P263"/>
    </row>
    <row r="264" spans="12:16">
      <c r="L264"/>
      <c r="M264"/>
      <c r="N264"/>
      <c r="O264"/>
      <c r="P264"/>
    </row>
    <row r="265" spans="12:16">
      <c r="L265"/>
      <c r="M265"/>
      <c r="N265"/>
      <c r="O265"/>
      <c r="P265"/>
    </row>
    <row r="266" spans="12:16">
      <c r="L266"/>
      <c r="M266"/>
      <c r="N266"/>
      <c r="O266"/>
      <c r="P266"/>
    </row>
    <row r="267" spans="12:16">
      <c r="L267"/>
      <c r="M267"/>
      <c r="N267"/>
      <c r="O267"/>
      <c r="P267"/>
    </row>
    <row r="268" spans="12:16">
      <c r="L268"/>
      <c r="M268"/>
      <c r="N268"/>
      <c r="O268"/>
      <c r="P268"/>
    </row>
    <row r="269" spans="12:16">
      <c r="L269"/>
      <c r="M269"/>
      <c r="N269"/>
      <c r="O269"/>
      <c r="P269"/>
    </row>
    <row r="270" spans="12:16">
      <c r="L270"/>
      <c r="M270"/>
      <c r="N270"/>
      <c r="O270"/>
      <c r="P270"/>
    </row>
    <row r="271" spans="12:16">
      <c r="L271"/>
      <c r="M271"/>
      <c r="N271"/>
      <c r="O271"/>
      <c r="P271"/>
    </row>
    <row r="272" spans="12:16">
      <c r="L272"/>
      <c r="M272"/>
      <c r="N272"/>
      <c r="O272"/>
      <c r="P272"/>
    </row>
    <row r="273" spans="12:16">
      <c r="L273"/>
      <c r="M273"/>
      <c r="N273"/>
      <c r="O273"/>
      <c r="P273"/>
    </row>
    <row r="274" spans="12:16">
      <c r="L274"/>
      <c r="M274"/>
      <c r="N274"/>
      <c r="O274"/>
      <c r="P274"/>
    </row>
    <row r="275" spans="12:16">
      <c r="L275"/>
      <c r="M275"/>
      <c r="N275"/>
      <c r="O275"/>
      <c r="P275"/>
    </row>
    <row r="276" spans="12:16">
      <c r="L276"/>
      <c r="M276"/>
      <c r="N276"/>
      <c r="O276"/>
      <c r="P276"/>
    </row>
    <row r="277" spans="12:16">
      <c r="L277"/>
      <c r="M277"/>
      <c r="N277"/>
      <c r="O277"/>
      <c r="P277"/>
    </row>
    <row r="278" spans="12:16">
      <c r="L278"/>
      <c r="M278"/>
      <c r="N278"/>
      <c r="O278"/>
      <c r="P278"/>
    </row>
    <row r="279" spans="12:16">
      <c r="L279"/>
      <c r="M279"/>
      <c r="N279"/>
      <c r="O279"/>
      <c r="P279"/>
    </row>
    <row r="280" spans="12:16">
      <c r="L280"/>
      <c r="M280"/>
      <c r="N280"/>
      <c r="O280"/>
      <c r="P280"/>
    </row>
    <row r="281" spans="12:16">
      <c r="L281"/>
      <c r="M281"/>
      <c r="N281"/>
      <c r="O281"/>
      <c r="P281"/>
    </row>
    <row r="282" spans="12:16">
      <c r="L282"/>
      <c r="M282"/>
      <c r="N282"/>
      <c r="O282"/>
      <c r="P282"/>
    </row>
    <row r="283" spans="12:16">
      <c r="L283"/>
      <c r="M283"/>
      <c r="N283"/>
      <c r="O283"/>
      <c r="P283"/>
    </row>
    <row r="284" spans="12:16">
      <c r="L284"/>
      <c r="M284"/>
      <c r="N284"/>
      <c r="O284"/>
      <c r="P284"/>
    </row>
    <row r="285" spans="12:16">
      <c r="L285"/>
      <c r="M285"/>
      <c r="N285"/>
      <c r="O285"/>
      <c r="P285"/>
    </row>
    <row r="286" spans="12:16">
      <c r="L286"/>
      <c r="M286"/>
      <c r="N286"/>
      <c r="O286"/>
      <c r="P286"/>
    </row>
    <row r="287" spans="12:16">
      <c r="L287"/>
      <c r="M287"/>
      <c r="N287"/>
      <c r="O287"/>
      <c r="P287"/>
    </row>
    <row r="288" spans="12:16">
      <c r="L288"/>
      <c r="M288"/>
      <c r="N288"/>
      <c r="O288"/>
      <c r="P288"/>
    </row>
    <row r="289" spans="12:16">
      <c r="L289"/>
      <c r="M289"/>
      <c r="N289"/>
      <c r="O289"/>
      <c r="P289"/>
    </row>
    <row r="290" spans="12:16">
      <c r="L290"/>
      <c r="M290"/>
      <c r="N290"/>
      <c r="O290"/>
      <c r="P290"/>
    </row>
    <row r="291" spans="12:16">
      <c r="L291"/>
      <c r="M291"/>
      <c r="N291"/>
      <c r="O291"/>
      <c r="P291"/>
    </row>
    <row r="292" spans="12:16">
      <c r="L292"/>
      <c r="M292"/>
      <c r="N292"/>
      <c r="O292"/>
      <c r="P292"/>
    </row>
    <row r="293" spans="12:16">
      <c r="L293"/>
      <c r="M293"/>
      <c r="N293"/>
      <c r="O293"/>
      <c r="P293"/>
    </row>
    <row r="294" spans="12:16">
      <c r="L294"/>
      <c r="M294"/>
      <c r="N294"/>
      <c r="O294"/>
      <c r="P294"/>
    </row>
    <row r="295" spans="12:16">
      <c r="L295"/>
      <c r="M295"/>
      <c r="N295"/>
      <c r="O295"/>
      <c r="P295"/>
    </row>
    <row r="296" spans="12:16">
      <c r="L296"/>
      <c r="M296"/>
      <c r="N296"/>
      <c r="O296"/>
      <c r="P296"/>
    </row>
    <row r="297" spans="12:16">
      <c r="L297"/>
      <c r="M297"/>
      <c r="N297"/>
      <c r="O297"/>
      <c r="P297"/>
    </row>
    <row r="298" spans="12:16">
      <c r="L298"/>
      <c r="M298"/>
      <c r="N298"/>
      <c r="O298"/>
      <c r="P298"/>
    </row>
    <row r="299" spans="12:16">
      <c r="L299"/>
      <c r="M299"/>
      <c r="N299"/>
      <c r="O299"/>
      <c r="P299"/>
    </row>
    <row r="300" spans="12:16">
      <c r="L300"/>
      <c r="M300"/>
      <c r="N300"/>
      <c r="O300"/>
      <c r="P300"/>
    </row>
    <row r="301" spans="12:16">
      <c r="L301"/>
      <c r="M301"/>
      <c r="N301"/>
      <c r="O301"/>
      <c r="P301"/>
    </row>
    <row r="302" spans="12:16">
      <c r="L302"/>
      <c r="M302"/>
      <c r="N302"/>
      <c r="O302"/>
      <c r="P302"/>
    </row>
    <row r="303" spans="12:16">
      <c r="L303"/>
      <c r="M303"/>
      <c r="N303"/>
      <c r="O303"/>
      <c r="P303"/>
    </row>
    <row r="304" spans="12:16">
      <c r="L304"/>
      <c r="M304"/>
      <c r="N304"/>
      <c r="O304"/>
      <c r="P304"/>
    </row>
    <row r="305" spans="12:16">
      <c r="L305"/>
      <c r="M305"/>
      <c r="N305"/>
      <c r="O305"/>
      <c r="P305"/>
    </row>
    <row r="306" spans="12:16">
      <c r="L306"/>
      <c r="M306"/>
      <c r="N306"/>
      <c r="O306"/>
      <c r="P306"/>
    </row>
    <row r="307" spans="12:16">
      <c r="L307"/>
      <c r="M307"/>
      <c r="N307"/>
      <c r="O307"/>
      <c r="P307"/>
    </row>
    <row r="308" spans="12:16">
      <c r="L308"/>
      <c r="M308"/>
      <c r="N308"/>
      <c r="O308"/>
      <c r="P308"/>
    </row>
    <row r="309" spans="12:16">
      <c r="L309"/>
      <c r="M309"/>
      <c r="N309"/>
      <c r="O309"/>
      <c r="P309"/>
    </row>
    <row r="310" spans="12:16">
      <c r="L310"/>
      <c r="M310"/>
      <c r="N310"/>
      <c r="O310"/>
      <c r="P310"/>
    </row>
    <row r="311" spans="12:16">
      <c r="L311"/>
      <c r="M311"/>
      <c r="N311"/>
      <c r="O311"/>
      <c r="P311"/>
    </row>
    <row r="312" spans="12:16">
      <c r="L312"/>
      <c r="M312"/>
      <c r="N312"/>
      <c r="O312"/>
      <c r="P312"/>
    </row>
    <row r="313" spans="12:16">
      <c r="L313"/>
      <c r="M313"/>
      <c r="N313"/>
      <c r="O313"/>
      <c r="P313"/>
    </row>
    <row r="314" spans="12:16">
      <c r="L314"/>
      <c r="M314"/>
      <c r="N314"/>
      <c r="O314"/>
      <c r="P314"/>
    </row>
    <row r="315" spans="12:16">
      <c r="L315"/>
      <c r="M315"/>
      <c r="N315"/>
      <c r="O315"/>
      <c r="P315"/>
    </row>
    <row r="316" spans="12:16">
      <c r="L316"/>
      <c r="M316"/>
      <c r="N316"/>
      <c r="O316"/>
      <c r="P316"/>
    </row>
    <row r="317" spans="12:16">
      <c r="L317"/>
      <c r="M317"/>
      <c r="N317"/>
      <c r="O317"/>
      <c r="P317"/>
    </row>
    <row r="318" spans="12:16">
      <c r="L318"/>
      <c r="M318"/>
      <c r="N318"/>
      <c r="O318"/>
      <c r="P318"/>
    </row>
    <row r="319" spans="12:16">
      <c r="L319"/>
      <c r="M319"/>
      <c r="N319"/>
      <c r="O319"/>
      <c r="P319"/>
    </row>
    <row r="320" spans="12:16">
      <c r="L320"/>
      <c r="M320"/>
      <c r="N320"/>
      <c r="O320"/>
      <c r="P320"/>
    </row>
    <row r="321" spans="12:16">
      <c r="L321"/>
      <c r="M321"/>
      <c r="N321"/>
      <c r="O321"/>
      <c r="P321"/>
    </row>
    <row r="322" spans="12:16">
      <c r="L322"/>
      <c r="M322"/>
      <c r="N322"/>
      <c r="O322"/>
      <c r="P322"/>
    </row>
    <row r="323" spans="12:16">
      <c r="L323"/>
      <c r="M323"/>
      <c r="N323"/>
      <c r="O323"/>
      <c r="P323"/>
    </row>
    <row r="324" spans="12:16">
      <c r="L324"/>
      <c r="M324"/>
      <c r="N324"/>
      <c r="O324"/>
      <c r="P324"/>
    </row>
    <row r="325" spans="12:16">
      <c r="L325"/>
      <c r="M325"/>
      <c r="N325"/>
      <c r="O325"/>
      <c r="P325"/>
    </row>
    <row r="326" spans="12:16">
      <c r="L326"/>
      <c r="M326"/>
      <c r="N326"/>
      <c r="O326"/>
      <c r="P326"/>
    </row>
    <row r="327" spans="12:16">
      <c r="L327"/>
      <c r="M327"/>
      <c r="N327"/>
      <c r="O327"/>
      <c r="P327"/>
    </row>
    <row r="328" spans="12:16">
      <c r="L328"/>
      <c r="M328"/>
      <c r="N328"/>
      <c r="O328"/>
      <c r="P328"/>
    </row>
    <row r="329" spans="12:16">
      <c r="L329"/>
      <c r="M329"/>
      <c r="N329"/>
      <c r="O329"/>
      <c r="P329"/>
    </row>
    <row r="330" spans="12:16">
      <c r="L330"/>
      <c r="M330"/>
      <c r="N330"/>
      <c r="O330"/>
      <c r="P330"/>
    </row>
    <row r="331" spans="12:16">
      <c r="L331"/>
      <c r="M331"/>
      <c r="N331"/>
      <c r="O331"/>
      <c r="P331"/>
    </row>
    <row r="332" spans="12:16">
      <c r="L332"/>
      <c r="M332"/>
      <c r="N332"/>
      <c r="O332"/>
      <c r="P332"/>
    </row>
    <row r="333" spans="12:16">
      <c r="L333"/>
      <c r="M333"/>
      <c r="N333"/>
      <c r="O333"/>
      <c r="P333"/>
    </row>
    <row r="334" spans="12:16">
      <c r="L334"/>
      <c r="M334"/>
      <c r="N334"/>
      <c r="O334"/>
      <c r="P334"/>
    </row>
    <row r="335" spans="12:16">
      <c r="L335"/>
      <c r="M335"/>
      <c r="N335"/>
      <c r="O335"/>
      <c r="P335"/>
    </row>
    <row r="336" spans="12:16">
      <c r="L336"/>
      <c r="M336"/>
      <c r="N336"/>
      <c r="O336"/>
      <c r="P336"/>
    </row>
    <row r="337" spans="12:16">
      <c r="L337"/>
      <c r="M337"/>
      <c r="N337"/>
      <c r="O337"/>
      <c r="P337"/>
    </row>
    <row r="338" spans="12:16">
      <c r="L338"/>
      <c r="M338"/>
      <c r="N338"/>
      <c r="O338"/>
      <c r="P338"/>
    </row>
    <row r="339" spans="12:16">
      <c r="L339"/>
      <c r="M339"/>
      <c r="N339"/>
      <c r="O339"/>
      <c r="P339"/>
    </row>
    <row r="340" spans="12:16">
      <c r="L340"/>
      <c r="M340"/>
      <c r="N340"/>
      <c r="O340"/>
      <c r="P340"/>
    </row>
    <row r="341" spans="12:16">
      <c r="L341"/>
      <c r="M341"/>
      <c r="N341"/>
      <c r="O341"/>
      <c r="P341"/>
    </row>
    <row r="342" spans="12:16">
      <c r="L342"/>
      <c r="M342"/>
      <c r="N342"/>
      <c r="O342"/>
      <c r="P342"/>
    </row>
    <row r="343" spans="12:16">
      <c r="L343"/>
      <c r="M343"/>
      <c r="N343"/>
      <c r="O343"/>
      <c r="P343"/>
    </row>
    <row r="344" spans="12:16">
      <c r="L344"/>
      <c r="M344"/>
      <c r="N344"/>
      <c r="O344"/>
      <c r="P344"/>
    </row>
    <row r="345" spans="12:16">
      <c r="L345"/>
      <c r="M345"/>
      <c r="N345"/>
      <c r="O345"/>
      <c r="P345"/>
    </row>
    <row r="346" spans="12:16">
      <c r="L346"/>
      <c r="M346"/>
      <c r="N346"/>
      <c r="O346"/>
      <c r="P346"/>
    </row>
    <row r="347" spans="12:16">
      <c r="L347"/>
      <c r="M347"/>
      <c r="N347"/>
      <c r="O347"/>
      <c r="P347"/>
    </row>
    <row r="348" spans="12:16">
      <c r="L348"/>
      <c r="M348"/>
      <c r="N348"/>
      <c r="O348"/>
      <c r="P348"/>
    </row>
    <row r="349" spans="12:16">
      <c r="L349"/>
      <c r="M349"/>
      <c r="N349"/>
      <c r="O349"/>
      <c r="P349"/>
    </row>
    <row r="350" spans="12:16">
      <c r="L350"/>
      <c r="M350"/>
      <c r="N350"/>
      <c r="O350"/>
      <c r="P350"/>
    </row>
    <row r="351" spans="12:16">
      <c r="L351"/>
      <c r="M351"/>
      <c r="N351"/>
      <c r="O351"/>
      <c r="P351"/>
    </row>
    <row r="352" spans="12:16">
      <c r="L352"/>
      <c r="M352"/>
      <c r="N352"/>
      <c r="O352"/>
      <c r="P352"/>
    </row>
    <row r="353" spans="12:16">
      <c r="L353"/>
      <c r="M353"/>
      <c r="N353"/>
      <c r="O353"/>
      <c r="P353"/>
    </row>
    <row r="354" spans="12:16">
      <c r="L354"/>
      <c r="M354"/>
      <c r="N354"/>
      <c r="O354"/>
      <c r="P354"/>
    </row>
    <row r="355" spans="12:16">
      <c r="L355"/>
      <c r="M355"/>
      <c r="N355"/>
      <c r="O355"/>
      <c r="P355"/>
    </row>
    <row r="356" spans="12:16">
      <c r="L356"/>
      <c r="M356"/>
      <c r="N356"/>
      <c r="O356"/>
      <c r="P356"/>
    </row>
    <row r="357" spans="12:16">
      <c r="L357"/>
      <c r="M357"/>
      <c r="N357"/>
      <c r="O357"/>
      <c r="P357"/>
    </row>
    <row r="358" spans="12:16">
      <c r="L358"/>
      <c r="M358"/>
      <c r="N358"/>
      <c r="O358"/>
      <c r="P358"/>
    </row>
    <row r="359" spans="12:16">
      <c r="L359"/>
      <c r="M359"/>
      <c r="N359"/>
      <c r="O359"/>
      <c r="P359"/>
    </row>
    <row r="360" spans="12:16">
      <c r="L360"/>
      <c r="M360"/>
      <c r="N360"/>
      <c r="O360"/>
      <c r="P360"/>
    </row>
    <row r="361" spans="12:16">
      <c r="L361"/>
      <c r="M361"/>
      <c r="N361"/>
      <c r="O361"/>
      <c r="P361"/>
    </row>
    <row r="362" spans="12:16">
      <c r="L362"/>
      <c r="M362"/>
      <c r="N362"/>
      <c r="O362"/>
      <c r="P362"/>
    </row>
    <row r="363" spans="12:16">
      <c r="L363"/>
      <c r="M363"/>
      <c r="N363"/>
      <c r="O363"/>
      <c r="P363"/>
    </row>
    <row r="364" spans="12:16">
      <c r="L364"/>
      <c r="M364"/>
      <c r="N364"/>
      <c r="O364"/>
      <c r="P364"/>
    </row>
    <row r="365" spans="12:16">
      <c r="L365"/>
      <c r="M365"/>
      <c r="N365"/>
      <c r="O365"/>
      <c r="P365"/>
    </row>
    <row r="366" spans="12:16">
      <c r="L366"/>
      <c r="M366"/>
      <c r="N366"/>
      <c r="O366"/>
      <c r="P366"/>
    </row>
    <row r="367" spans="12:16">
      <c r="L367"/>
      <c r="M367"/>
      <c r="N367"/>
      <c r="O367"/>
      <c r="P367"/>
    </row>
    <row r="368" spans="12:16">
      <c r="L368"/>
      <c r="M368"/>
      <c r="N368"/>
      <c r="O368"/>
      <c r="P368"/>
    </row>
    <row r="369" spans="12:16">
      <c r="L369"/>
      <c r="M369"/>
      <c r="N369"/>
      <c r="O369"/>
      <c r="P369"/>
    </row>
    <row r="370" spans="12:16">
      <c r="L370"/>
      <c r="M370"/>
      <c r="N370"/>
      <c r="O370"/>
      <c r="P370"/>
    </row>
    <row r="371" spans="12:16">
      <c r="L371"/>
      <c r="M371"/>
      <c r="N371"/>
      <c r="O371"/>
      <c r="P371"/>
    </row>
    <row r="372" spans="12:16">
      <c r="L372"/>
      <c r="M372"/>
      <c r="N372"/>
      <c r="O372"/>
      <c r="P372"/>
    </row>
    <row r="373" spans="12:16">
      <c r="L373"/>
      <c r="M373"/>
      <c r="N373"/>
      <c r="O373"/>
      <c r="P373"/>
    </row>
    <row r="374" spans="12:16">
      <c r="L374"/>
      <c r="M374"/>
      <c r="N374"/>
      <c r="O374"/>
      <c r="P374"/>
    </row>
    <row r="375" spans="12:16">
      <c r="L375"/>
      <c r="M375"/>
      <c r="N375"/>
      <c r="O375"/>
      <c r="P375"/>
    </row>
    <row r="376" spans="12:16">
      <c r="L376"/>
      <c r="M376"/>
      <c r="N376"/>
      <c r="O376"/>
      <c r="P376"/>
    </row>
    <row r="377" spans="12:16">
      <c r="L377"/>
      <c r="M377"/>
      <c r="N377"/>
      <c r="O377"/>
      <c r="P377"/>
    </row>
    <row r="378" spans="12:16">
      <c r="L378"/>
      <c r="M378"/>
      <c r="N378"/>
      <c r="O378"/>
      <c r="P378"/>
    </row>
    <row r="379" spans="12:16">
      <c r="L379"/>
      <c r="M379"/>
      <c r="N379"/>
      <c r="O379"/>
      <c r="P379"/>
    </row>
    <row r="380" spans="12:16">
      <c r="L380"/>
      <c r="M380"/>
      <c r="N380"/>
      <c r="O380"/>
      <c r="P380"/>
    </row>
    <row r="381" spans="12:16">
      <c r="L381"/>
      <c r="M381"/>
      <c r="N381"/>
      <c r="O381"/>
      <c r="P381"/>
    </row>
    <row r="382" spans="12:16">
      <c r="L382"/>
      <c r="M382"/>
      <c r="N382"/>
      <c r="O382"/>
      <c r="P382"/>
    </row>
    <row r="383" spans="12:16">
      <c r="L383"/>
      <c r="M383"/>
      <c r="N383"/>
      <c r="O383"/>
      <c r="P383"/>
    </row>
    <row r="384" spans="12:16">
      <c r="L384"/>
      <c r="M384"/>
      <c r="N384"/>
      <c r="O384"/>
      <c r="P384"/>
    </row>
    <row r="385" spans="12:16">
      <c r="L385"/>
      <c r="M385"/>
      <c r="N385"/>
      <c r="O385"/>
      <c r="P385"/>
    </row>
    <row r="386" spans="12:16">
      <c r="L386"/>
      <c r="M386"/>
      <c r="N386"/>
      <c r="O386"/>
      <c r="P386"/>
    </row>
    <row r="387" spans="12:16">
      <c r="L387"/>
      <c r="M387"/>
      <c r="N387"/>
      <c r="O387"/>
      <c r="P387"/>
    </row>
    <row r="388" spans="12:16">
      <c r="L388"/>
      <c r="M388"/>
      <c r="N388"/>
      <c r="O388"/>
      <c r="P388"/>
    </row>
    <row r="389" spans="12:16">
      <c r="L389"/>
      <c r="M389"/>
      <c r="N389"/>
      <c r="O389"/>
      <c r="P389"/>
    </row>
    <row r="390" spans="12:16">
      <c r="L390"/>
      <c r="M390"/>
      <c r="N390"/>
      <c r="O390"/>
      <c r="P390"/>
    </row>
    <row r="391" spans="12:16">
      <c r="L391"/>
      <c r="M391"/>
      <c r="N391"/>
      <c r="O391"/>
      <c r="P391"/>
    </row>
    <row r="392" spans="12:16">
      <c r="L392"/>
      <c r="M392"/>
      <c r="N392"/>
      <c r="O392"/>
      <c r="P392"/>
    </row>
    <row r="393" spans="12:16">
      <c r="L393"/>
      <c r="M393"/>
      <c r="N393"/>
      <c r="O393"/>
      <c r="P393"/>
    </row>
    <row r="394" spans="12:16">
      <c r="L394"/>
      <c r="M394"/>
      <c r="N394"/>
      <c r="O394"/>
      <c r="P394"/>
    </row>
    <row r="395" spans="12:16">
      <c r="L395"/>
      <c r="M395"/>
      <c r="N395"/>
      <c r="O395"/>
      <c r="P395"/>
    </row>
    <row r="396" spans="12:16">
      <c r="L396"/>
      <c r="M396"/>
      <c r="N396"/>
      <c r="O396"/>
      <c r="P396"/>
    </row>
    <row r="397" spans="12:16">
      <c r="L397"/>
      <c r="M397"/>
      <c r="N397"/>
      <c r="O397"/>
      <c r="P397"/>
    </row>
    <row r="398" spans="12:16">
      <c r="L398"/>
      <c r="M398"/>
      <c r="N398"/>
      <c r="O398"/>
      <c r="P398"/>
    </row>
    <row r="399" spans="12:16">
      <c r="L399"/>
      <c r="M399"/>
      <c r="N399"/>
      <c r="O399"/>
      <c r="P399"/>
    </row>
    <row r="400" spans="12:16">
      <c r="L400"/>
      <c r="M400"/>
      <c r="N400"/>
      <c r="O400"/>
      <c r="P400"/>
    </row>
    <row r="401" spans="12:16">
      <c r="L401"/>
      <c r="M401"/>
      <c r="N401"/>
      <c r="O401"/>
      <c r="P401"/>
    </row>
    <row r="402" spans="12:16">
      <c r="L402"/>
      <c r="M402"/>
      <c r="N402"/>
      <c r="O402"/>
      <c r="P402"/>
    </row>
    <row r="403" spans="12:16">
      <c r="L403"/>
      <c r="M403"/>
      <c r="N403"/>
      <c r="O403"/>
      <c r="P403"/>
    </row>
    <row r="404" spans="12:16">
      <c r="L404"/>
      <c r="M404"/>
      <c r="N404"/>
      <c r="O404"/>
      <c r="P404"/>
    </row>
    <row r="405" spans="12:16">
      <c r="L405"/>
      <c r="M405"/>
      <c r="N405"/>
      <c r="O405"/>
      <c r="P405"/>
    </row>
    <row r="406" spans="12:16">
      <c r="L406"/>
      <c r="M406"/>
      <c r="N406"/>
      <c r="O406"/>
      <c r="P406"/>
    </row>
    <row r="407" spans="12:16">
      <c r="L407"/>
      <c r="M407"/>
      <c r="N407"/>
      <c r="O407"/>
      <c r="P407"/>
    </row>
    <row r="408" spans="12:16">
      <c r="L408"/>
      <c r="M408"/>
      <c r="N408"/>
      <c r="O408"/>
      <c r="P408"/>
    </row>
    <row r="409" spans="12:16">
      <c r="L409"/>
      <c r="M409"/>
      <c r="N409"/>
      <c r="O409"/>
      <c r="P409"/>
    </row>
    <row r="410" spans="12:16">
      <c r="L410"/>
      <c r="M410"/>
      <c r="N410"/>
      <c r="O410"/>
      <c r="P410"/>
    </row>
    <row r="411" spans="12:16">
      <c r="L411"/>
      <c r="M411"/>
      <c r="N411"/>
      <c r="O411"/>
      <c r="P411"/>
    </row>
    <row r="412" spans="12:16">
      <c r="L412"/>
      <c r="M412"/>
      <c r="N412"/>
      <c r="O412"/>
      <c r="P412"/>
    </row>
    <row r="413" spans="12:16">
      <c r="L413"/>
      <c r="M413"/>
      <c r="N413"/>
      <c r="O413"/>
      <c r="P413"/>
    </row>
    <row r="414" spans="12:16">
      <c r="L414"/>
      <c r="M414"/>
      <c r="N414"/>
      <c r="O414"/>
      <c r="P414"/>
    </row>
    <row r="415" spans="12:16">
      <c r="L415"/>
      <c r="M415"/>
      <c r="N415"/>
      <c r="O415"/>
      <c r="P415"/>
    </row>
    <row r="416" spans="12:16">
      <c r="L416"/>
      <c r="M416"/>
      <c r="N416"/>
      <c r="O416"/>
      <c r="P416"/>
    </row>
    <row r="417" spans="12:16">
      <c r="L417"/>
      <c r="M417"/>
      <c r="N417"/>
      <c r="O417"/>
      <c r="P417"/>
    </row>
    <row r="418" spans="12:16">
      <c r="L418"/>
      <c r="M418"/>
      <c r="N418"/>
      <c r="O418"/>
      <c r="P418"/>
    </row>
    <row r="419" spans="12:16">
      <c r="L419"/>
      <c r="M419"/>
      <c r="N419"/>
      <c r="O419"/>
      <c r="P419"/>
    </row>
    <row r="420" spans="12:16">
      <c r="L420"/>
      <c r="M420"/>
      <c r="N420"/>
      <c r="O420"/>
      <c r="P420"/>
    </row>
    <row r="421" spans="12:16">
      <c r="L421"/>
      <c r="M421"/>
      <c r="N421"/>
      <c r="O421"/>
      <c r="P421"/>
    </row>
    <row r="422" spans="12:16">
      <c r="L422"/>
      <c r="M422"/>
      <c r="N422"/>
      <c r="O422"/>
      <c r="P422"/>
    </row>
    <row r="423" spans="12:16">
      <c r="L423"/>
      <c r="M423"/>
      <c r="N423"/>
      <c r="O423"/>
      <c r="P423"/>
    </row>
    <row r="424" spans="12:16">
      <c r="L424"/>
      <c r="M424"/>
      <c r="N424"/>
      <c r="O424"/>
      <c r="P424"/>
    </row>
    <row r="425" spans="12:16">
      <c r="L425"/>
      <c r="M425"/>
      <c r="N425"/>
      <c r="O425"/>
      <c r="P425"/>
    </row>
    <row r="426" spans="12:16">
      <c r="L426"/>
      <c r="M426"/>
      <c r="N426"/>
      <c r="O426"/>
      <c r="P426"/>
    </row>
    <row r="427" spans="12:16">
      <c r="L427"/>
      <c r="M427"/>
      <c r="N427"/>
      <c r="O427"/>
      <c r="P427"/>
    </row>
    <row r="428" spans="12:16">
      <c r="L428"/>
      <c r="M428"/>
      <c r="N428"/>
      <c r="O428"/>
      <c r="P428"/>
    </row>
    <row r="429" spans="12:16">
      <c r="L429"/>
      <c r="M429"/>
      <c r="N429"/>
      <c r="O429"/>
      <c r="P429"/>
    </row>
    <row r="430" spans="12:16">
      <c r="L430"/>
      <c r="M430"/>
      <c r="N430"/>
      <c r="O430"/>
      <c r="P430"/>
    </row>
    <row r="431" spans="12:16">
      <c r="L431"/>
      <c r="M431"/>
      <c r="N431"/>
      <c r="O431"/>
      <c r="P431"/>
    </row>
    <row r="432" spans="12:16">
      <c r="L432"/>
      <c r="M432"/>
      <c r="N432"/>
      <c r="O432"/>
      <c r="P432"/>
    </row>
    <row r="433" spans="12:16">
      <c r="L433"/>
      <c r="M433"/>
      <c r="N433"/>
      <c r="O433"/>
      <c r="P433"/>
    </row>
    <row r="434" spans="12:16">
      <c r="L434"/>
      <c r="M434"/>
      <c r="N434"/>
      <c r="O434"/>
      <c r="P434"/>
    </row>
    <row r="435" spans="12:16">
      <c r="L435"/>
      <c r="M435"/>
      <c r="N435"/>
      <c r="O435"/>
      <c r="P435"/>
    </row>
    <row r="436" spans="12:16">
      <c r="L436"/>
      <c r="M436"/>
      <c r="N436"/>
      <c r="O436"/>
      <c r="P436"/>
    </row>
    <row r="437" spans="12:16">
      <c r="L437"/>
      <c r="M437"/>
      <c r="N437"/>
      <c r="O437"/>
      <c r="P437"/>
    </row>
    <row r="438" spans="12:16">
      <c r="L438"/>
      <c r="M438"/>
      <c r="N438"/>
      <c r="O438"/>
      <c r="P438"/>
    </row>
    <row r="439" spans="12:16">
      <c r="L439"/>
      <c r="M439"/>
      <c r="N439"/>
      <c r="O439"/>
      <c r="P439"/>
    </row>
    <row r="440" spans="12:16">
      <c r="L440"/>
      <c r="M440"/>
      <c r="N440"/>
      <c r="O440"/>
      <c r="P440"/>
    </row>
    <row r="441" spans="12:16">
      <c r="L441"/>
      <c r="M441"/>
      <c r="N441"/>
      <c r="O441"/>
      <c r="P441"/>
    </row>
    <row r="442" spans="12:16">
      <c r="L442"/>
      <c r="M442"/>
      <c r="N442"/>
      <c r="O442"/>
      <c r="P442"/>
    </row>
    <row r="443" spans="12:16">
      <c r="L443"/>
      <c r="M443"/>
      <c r="N443"/>
      <c r="O443"/>
      <c r="P443"/>
    </row>
    <row r="444" spans="12:16">
      <c r="L444"/>
      <c r="M444"/>
      <c r="N444"/>
      <c r="O444"/>
      <c r="P444"/>
    </row>
    <row r="445" spans="12:16">
      <c r="L445"/>
      <c r="M445"/>
      <c r="N445"/>
      <c r="O445"/>
      <c r="P445"/>
    </row>
    <row r="446" spans="12:16">
      <c r="L446"/>
      <c r="M446"/>
      <c r="N446"/>
      <c r="O446"/>
      <c r="P446"/>
    </row>
    <row r="447" spans="12:16">
      <c r="L447"/>
      <c r="M447"/>
      <c r="N447"/>
      <c r="O447"/>
      <c r="P447"/>
    </row>
    <row r="448" spans="12:16">
      <c r="L448"/>
      <c r="M448"/>
      <c r="N448"/>
      <c r="O448"/>
      <c r="P448"/>
    </row>
    <row r="449" spans="12:16">
      <c r="L449"/>
      <c r="M449"/>
      <c r="N449"/>
      <c r="O449"/>
      <c r="P449"/>
    </row>
    <row r="450" spans="12:16">
      <c r="L450"/>
      <c r="M450"/>
      <c r="N450"/>
      <c r="O450"/>
      <c r="P450"/>
    </row>
    <row r="451" spans="12:16">
      <c r="L451"/>
      <c r="M451"/>
      <c r="N451"/>
      <c r="O451"/>
      <c r="P451"/>
    </row>
    <row r="452" spans="12:16">
      <c r="L452"/>
      <c r="M452"/>
      <c r="N452"/>
      <c r="O452"/>
      <c r="P452"/>
    </row>
    <row r="453" spans="12:16">
      <c r="L453"/>
      <c r="M453"/>
      <c r="N453"/>
      <c r="O453"/>
      <c r="P453"/>
    </row>
    <row r="454" spans="12:16">
      <c r="L454"/>
      <c r="M454"/>
      <c r="N454"/>
      <c r="O454"/>
      <c r="P454"/>
    </row>
    <row r="455" spans="12:16">
      <c r="L455"/>
      <c r="M455"/>
      <c r="N455"/>
      <c r="O455"/>
      <c r="P455"/>
    </row>
    <row r="456" spans="12:16">
      <c r="L456"/>
      <c r="M456"/>
      <c r="N456"/>
      <c r="O456"/>
      <c r="P456"/>
    </row>
    <row r="457" spans="12:16">
      <c r="L457"/>
      <c r="M457"/>
      <c r="N457"/>
      <c r="O457"/>
      <c r="P457"/>
    </row>
    <row r="458" spans="12:16">
      <c r="L458"/>
      <c r="M458"/>
      <c r="N458"/>
      <c r="O458"/>
      <c r="P458"/>
    </row>
    <row r="459" spans="12:16">
      <c r="L459"/>
      <c r="M459"/>
      <c r="N459"/>
      <c r="O459"/>
      <c r="P459"/>
    </row>
    <row r="460" spans="12:16">
      <c r="L460"/>
      <c r="M460"/>
      <c r="N460"/>
      <c r="O460"/>
      <c r="P460"/>
    </row>
    <row r="461" spans="12:16">
      <c r="L461"/>
      <c r="M461"/>
      <c r="N461"/>
      <c r="O461"/>
      <c r="P461"/>
    </row>
    <row r="462" spans="12:16">
      <c r="L462"/>
      <c r="M462"/>
      <c r="N462"/>
      <c r="O462"/>
      <c r="P462"/>
    </row>
    <row r="463" spans="12:16">
      <c r="L463"/>
      <c r="M463"/>
      <c r="N463"/>
      <c r="O463"/>
      <c r="P463"/>
    </row>
    <row r="464" spans="12:16">
      <c r="L464"/>
      <c r="M464"/>
      <c r="N464"/>
      <c r="O464"/>
      <c r="P464"/>
    </row>
    <row r="465" spans="12:16">
      <c r="L465"/>
      <c r="M465"/>
      <c r="N465"/>
      <c r="O465"/>
      <c r="P465"/>
    </row>
    <row r="466" spans="12:16">
      <c r="L466"/>
      <c r="M466"/>
      <c r="N466"/>
      <c r="O466"/>
      <c r="P466"/>
    </row>
    <row r="467" spans="12:16">
      <c r="L467"/>
      <c r="M467"/>
      <c r="N467"/>
      <c r="O467"/>
      <c r="P467"/>
    </row>
    <row r="468" spans="12:16">
      <c r="L468"/>
      <c r="M468"/>
      <c r="N468"/>
      <c r="O468"/>
      <c r="P468"/>
    </row>
    <row r="469" spans="12:16">
      <c r="L469"/>
      <c r="M469"/>
      <c r="N469"/>
      <c r="O469"/>
      <c r="P469"/>
    </row>
    <row r="470" spans="12:16">
      <c r="L470"/>
      <c r="M470"/>
      <c r="N470"/>
      <c r="O470"/>
      <c r="P470"/>
    </row>
    <row r="471" spans="12:16">
      <c r="L471"/>
      <c r="M471"/>
      <c r="N471"/>
      <c r="O471"/>
      <c r="P471"/>
    </row>
    <row r="472" spans="12:16">
      <c r="L472"/>
      <c r="M472"/>
      <c r="N472"/>
      <c r="O472"/>
      <c r="P472"/>
    </row>
    <row r="473" spans="12:16">
      <c r="L473"/>
      <c r="M473"/>
      <c r="N473"/>
      <c r="O473"/>
      <c r="P473"/>
    </row>
    <row r="474" spans="12:16">
      <c r="L474"/>
      <c r="M474"/>
      <c r="N474"/>
      <c r="O474"/>
      <c r="P474"/>
    </row>
    <row r="475" spans="12:16">
      <c r="L475"/>
      <c r="M475"/>
      <c r="N475"/>
      <c r="O475"/>
      <c r="P475"/>
    </row>
    <row r="476" spans="12:16">
      <c r="L476"/>
      <c r="M476"/>
      <c r="N476"/>
      <c r="O476"/>
      <c r="P476"/>
    </row>
    <row r="477" spans="12:16">
      <c r="L477"/>
      <c r="M477"/>
      <c r="N477"/>
      <c r="O477"/>
      <c r="P477"/>
    </row>
    <row r="478" spans="12:16">
      <c r="L478"/>
      <c r="M478"/>
      <c r="N478"/>
      <c r="O478"/>
      <c r="P478"/>
    </row>
    <row r="479" spans="12:16">
      <c r="L479"/>
      <c r="M479"/>
      <c r="N479"/>
      <c r="O479"/>
      <c r="P479"/>
    </row>
    <row r="480" spans="12:16">
      <c r="L480"/>
      <c r="M480"/>
      <c r="N480"/>
      <c r="O480"/>
      <c r="P480"/>
    </row>
    <row r="481" spans="12:16">
      <c r="L481"/>
      <c r="M481"/>
      <c r="N481"/>
      <c r="O481"/>
      <c r="P481"/>
    </row>
    <row r="482" spans="12:16">
      <c r="L482"/>
      <c r="M482"/>
      <c r="N482"/>
      <c r="O482"/>
      <c r="P482"/>
    </row>
    <row r="483" spans="12:16">
      <c r="L483"/>
      <c r="M483"/>
      <c r="N483"/>
      <c r="O483"/>
      <c r="P483"/>
    </row>
    <row r="484" spans="12:16">
      <c r="L484"/>
      <c r="M484"/>
      <c r="N484"/>
      <c r="O484"/>
      <c r="P484"/>
    </row>
    <row r="485" spans="12:16">
      <c r="L485"/>
      <c r="M485"/>
      <c r="N485"/>
      <c r="O485"/>
      <c r="P485"/>
    </row>
    <row r="486" spans="12:16">
      <c r="L486"/>
      <c r="M486"/>
      <c r="N486"/>
      <c r="O486"/>
      <c r="P486"/>
    </row>
    <row r="487" spans="12:16">
      <c r="L487"/>
      <c r="M487"/>
      <c r="N487"/>
      <c r="O487"/>
      <c r="P487"/>
    </row>
    <row r="488" spans="12:16">
      <c r="L488"/>
      <c r="M488"/>
      <c r="N488"/>
      <c r="O488"/>
      <c r="P488"/>
    </row>
    <row r="489" spans="12:16">
      <c r="L489"/>
      <c r="M489"/>
      <c r="N489"/>
      <c r="O489"/>
      <c r="P489"/>
    </row>
    <row r="490" spans="12:16">
      <c r="L490"/>
      <c r="M490"/>
      <c r="N490"/>
      <c r="O490"/>
      <c r="P490"/>
    </row>
    <row r="491" spans="12:16">
      <c r="L491"/>
      <c r="M491"/>
      <c r="N491"/>
      <c r="O491"/>
      <c r="P491"/>
    </row>
    <row r="492" spans="12:16">
      <c r="L492"/>
      <c r="M492"/>
      <c r="N492"/>
      <c r="O492"/>
      <c r="P492"/>
    </row>
    <row r="493" spans="12:16">
      <c r="L493"/>
      <c r="M493"/>
      <c r="N493"/>
      <c r="O493"/>
      <c r="P493"/>
    </row>
    <row r="494" spans="12:16">
      <c r="L494"/>
      <c r="M494"/>
      <c r="N494"/>
      <c r="O494"/>
      <c r="P494"/>
    </row>
    <row r="495" spans="12:16">
      <c r="L495"/>
      <c r="M495"/>
      <c r="N495"/>
      <c r="O495"/>
      <c r="P495"/>
    </row>
    <row r="496" spans="12:16">
      <c r="L496"/>
      <c r="M496"/>
      <c r="N496"/>
      <c r="O496"/>
      <c r="P496"/>
    </row>
    <row r="497" spans="12:16">
      <c r="L497"/>
      <c r="M497"/>
      <c r="N497"/>
      <c r="O497"/>
      <c r="P497"/>
    </row>
    <row r="498" spans="12:16">
      <c r="L498"/>
      <c r="M498"/>
      <c r="N498"/>
      <c r="O498"/>
      <c r="P498"/>
    </row>
    <row r="499" spans="12:16">
      <c r="L499"/>
      <c r="M499"/>
      <c r="N499"/>
      <c r="O499"/>
      <c r="P499"/>
    </row>
    <row r="500" spans="12:16">
      <c r="L500"/>
      <c r="M500"/>
      <c r="N500"/>
      <c r="O500"/>
      <c r="P500"/>
    </row>
    <row r="501" spans="12:16">
      <c r="L501"/>
      <c r="M501"/>
      <c r="N501"/>
      <c r="O501"/>
      <c r="P501"/>
    </row>
    <row r="502" spans="12:16">
      <c r="L502"/>
      <c r="M502"/>
      <c r="N502"/>
      <c r="O502"/>
      <c r="P502"/>
    </row>
    <row r="503" spans="12:16">
      <c r="L503"/>
      <c r="M503"/>
      <c r="N503"/>
      <c r="O503"/>
      <c r="P503"/>
    </row>
    <row r="504" spans="12:16">
      <c r="L504"/>
      <c r="M504"/>
      <c r="N504"/>
      <c r="O504"/>
      <c r="P504"/>
    </row>
    <row r="505" spans="12:16">
      <c r="L505"/>
      <c r="M505"/>
      <c r="N505"/>
      <c r="O505"/>
      <c r="P505"/>
    </row>
    <row r="506" spans="12:16">
      <c r="L506"/>
      <c r="M506"/>
      <c r="N506"/>
      <c r="O506"/>
      <c r="P506"/>
    </row>
    <row r="507" spans="12:16">
      <c r="L507"/>
      <c r="M507"/>
      <c r="N507"/>
      <c r="O507"/>
      <c r="P507"/>
    </row>
    <row r="508" spans="12:16">
      <c r="L508"/>
      <c r="M508"/>
      <c r="N508"/>
      <c r="O508"/>
      <c r="P508"/>
    </row>
    <row r="509" spans="12:16">
      <c r="L509"/>
      <c r="M509"/>
      <c r="N509"/>
      <c r="O509"/>
      <c r="P509"/>
    </row>
    <row r="510" spans="12:16">
      <c r="L510"/>
      <c r="M510"/>
      <c r="N510"/>
      <c r="O510"/>
      <c r="P510"/>
    </row>
    <row r="511" spans="12:16">
      <c r="L511"/>
      <c r="M511"/>
      <c r="N511"/>
      <c r="O511"/>
      <c r="P511"/>
    </row>
    <row r="512" spans="12:16">
      <c r="L512"/>
      <c r="M512"/>
      <c r="N512"/>
      <c r="O512"/>
      <c r="P512"/>
    </row>
    <row r="513" spans="12:16">
      <c r="L513"/>
      <c r="M513"/>
      <c r="N513"/>
      <c r="O513"/>
      <c r="P513"/>
    </row>
    <row r="514" spans="12:16">
      <c r="L514"/>
      <c r="M514"/>
      <c r="N514"/>
      <c r="O514"/>
      <c r="P514"/>
    </row>
    <row r="515" spans="12:16">
      <c r="L515"/>
      <c r="M515"/>
      <c r="N515"/>
      <c r="O515"/>
      <c r="P515"/>
    </row>
    <row r="516" spans="12:16">
      <c r="L516"/>
      <c r="M516"/>
      <c r="N516"/>
      <c r="O516"/>
      <c r="P516"/>
    </row>
    <row r="517" spans="12:16">
      <c r="L517"/>
      <c r="M517"/>
      <c r="N517"/>
      <c r="O517"/>
      <c r="P517"/>
    </row>
    <row r="518" spans="12:16">
      <c r="L518"/>
      <c r="M518"/>
      <c r="N518"/>
      <c r="O518"/>
      <c r="P518"/>
    </row>
    <row r="519" spans="12:16">
      <c r="L519"/>
      <c r="M519"/>
      <c r="N519"/>
      <c r="O519"/>
      <c r="P519"/>
    </row>
    <row r="520" spans="12:16">
      <c r="L520"/>
      <c r="M520"/>
      <c r="N520"/>
      <c r="O520"/>
      <c r="P520"/>
    </row>
    <row r="521" spans="12:16">
      <c r="L521"/>
      <c r="M521"/>
      <c r="N521"/>
      <c r="O521"/>
      <c r="P521"/>
    </row>
    <row r="522" spans="12:16">
      <c r="L522"/>
      <c r="M522"/>
      <c r="N522"/>
      <c r="O522"/>
      <c r="P522"/>
    </row>
    <row r="523" spans="12:16">
      <c r="L523"/>
      <c r="M523"/>
      <c r="N523"/>
      <c r="O523"/>
      <c r="P523"/>
    </row>
    <row r="524" spans="12:16">
      <c r="L524"/>
      <c r="M524"/>
      <c r="N524"/>
      <c r="O524"/>
      <c r="P524"/>
    </row>
    <row r="525" spans="12:16">
      <c r="L525"/>
      <c r="M525"/>
      <c r="N525"/>
      <c r="O525"/>
      <c r="P525"/>
    </row>
    <row r="526" spans="12:16">
      <c r="L526"/>
      <c r="M526"/>
      <c r="N526"/>
      <c r="O526"/>
      <c r="P526"/>
    </row>
    <row r="527" spans="12:16">
      <c r="L527"/>
      <c r="M527"/>
      <c r="N527"/>
      <c r="O527"/>
      <c r="P527"/>
    </row>
    <row r="528" spans="12:16">
      <c r="L528"/>
      <c r="M528"/>
      <c r="N528"/>
      <c r="O528"/>
      <c r="P528"/>
    </row>
    <row r="529" spans="12:16">
      <c r="L529"/>
      <c r="M529"/>
      <c r="N529"/>
      <c r="O529"/>
      <c r="P529"/>
    </row>
    <row r="530" spans="12:16">
      <c r="L530"/>
      <c r="M530"/>
      <c r="N530"/>
      <c r="O530"/>
      <c r="P530"/>
    </row>
    <row r="531" spans="12:16">
      <c r="L531"/>
      <c r="M531"/>
      <c r="N531"/>
      <c r="O531"/>
      <c r="P531"/>
    </row>
    <row r="532" spans="12:16">
      <c r="L532"/>
      <c r="M532"/>
      <c r="N532"/>
      <c r="O532"/>
      <c r="P532"/>
    </row>
    <row r="533" spans="12:16">
      <c r="L533"/>
      <c r="M533"/>
      <c r="N533"/>
      <c r="O533"/>
      <c r="P533"/>
    </row>
    <row r="534" spans="12:16">
      <c r="L534"/>
      <c r="M534"/>
      <c r="N534"/>
      <c r="O534"/>
      <c r="P534"/>
    </row>
    <row r="535" spans="12:16">
      <c r="L535"/>
      <c r="M535"/>
      <c r="N535"/>
      <c r="O535"/>
      <c r="P535"/>
    </row>
    <row r="536" spans="12:16">
      <c r="L536"/>
      <c r="M536"/>
      <c r="N536"/>
      <c r="O536"/>
      <c r="P536"/>
    </row>
    <row r="537" spans="12:16">
      <c r="L537"/>
      <c r="M537"/>
      <c r="N537"/>
      <c r="O537"/>
      <c r="P537"/>
    </row>
    <row r="538" spans="12:16">
      <c r="L538"/>
      <c r="M538"/>
      <c r="N538"/>
      <c r="O538"/>
      <c r="P538"/>
    </row>
    <row r="539" spans="12:16">
      <c r="L539"/>
      <c r="M539"/>
      <c r="N539"/>
      <c r="O539"/>
      <c r="P539"/>
    </row>
    <row r="540" spans="12:16">
      <c r="L540"/>
      <c r="M540"/>
      <c r="N540"/>
      <c r="O540"/>
      <c r="P540"/>
    </row>
    <row r="541" spans="12:16">
      <c r="L541"/>
      <c r="M541"/>
      <c r="N541"/>
      <c r="O541"/>
      <c r="P541"/>
    </row>
    <row r="542" spans="12:16">
      <c r="L542"/>
      <c r="M542"/>
      <c r="N542"/>
      <c r="O542"/>
      <c r="P542"/>
    </row>
    <row r="543" spans="12:16">
      <c r="L543"/>
      <c r="M543"/>
      <c r="N543"/>
      <c r="O543"/>
      <c r="P543"/>
    </row>
    <row r="544" spans="12:16">
      <c r="L544"/>
      <c r="M544"/>
      <c r="N544"/>
      <c r="O544"/>
      <c r="P544"/>
    </row>
    <row r="545" spans="12:16">
      <c r="L545"/>
      <c r="M545"/>
      <c r="N545"/>
      <c r="O545"/>
      <c r="P545"/>
    </row>
    <row r="546" spans="12:16">
      <c r="L546"/>
      <c r="M546"/>
      <c r="N546"/>
      <c r="O546"/>
      <c r="P546"/>
    </row>
    <row r="547" spans="12:16">
      <c r="L547"/>
      <c r="M547"/>
      <c r="N547"/>
      <c r="O547"/>
      <c r="P547"/>
    </row>
    <row r="548" spans="12:16">
      <c r="L548"/>
      <c r="M548"/>
      <c r="N548"/>
      <c r="O548"/>
      <c r="P548"/>
    </row>
    <row r="549" spans="12:16">
      <c r="L549"/>
      <c r="M549"/>
      <c r="N549"/>
      <c r="O549"/>
      <c r="P549"/>
    </row>
    <row r="550" spans="12:16">
      <c r="L550"/>
      <c r="M550"/>
      <c r="N550"/>
      <c r="O550"/>
      <c r="P550"/>
    </row>
    <row r="551" spans="12:16">
      <c r="L551"/>
      <c r="M551"/>
      <c r="N551"/>
      <c r="O551"/>
      <c r="P551"/>
    </row>
    <row r="552" spans="12:16">
      <c r="L552"/>
      <c r="M552"/>
      <c r="N552"/>
      <c r="O552"/>
      <c r="P552"/>
    </row>
    <row r="553" spans="12:16">
      <c r="L553"/>
      <c r="M553"/>
      <c r="N553"/>
      <c r="O553"/>
      <c r="P553"/>
    </row>
    <row r="554" spans="12:16">
      <c r="L554"/>
      <c r="M554"/>
      <c r="N554"/>
      <c r="O554"/>
      <c r="P554"/>
    </row>
    <row r="555" spans="12:16">
      <c r="L555"/>
      <c r="M555"/>
      <c r="N555"/>
      <c r="O555"/>
      <c r="P555"/>
    </row>
    <row r="556" spans="12:16">
      <c r="L556"/>
      <c r="M556"/>
      <c r="N556"/>
      <c r="O556"/>
      <c r="P556"/>
    </row>
    <row r="557" spans="12:16">
      <c r="L557"/>
      <c r="M557"/>
      <c r="N557"/>
      <c r="O557"/>
      <c r="P557"/>
    </row>
    <row r="558" spans="12:16">
      <c r="L558"/>
      <c r="M558"/>
      <c r="N558"/>
      <c r="O558"/>
      <c r="P558"/>
    </row>
    <row r="559" spans="12:16">
      <c r="L559"/>
      <c r="M559"/>
      <c r="N559"/>
      <c r="O559"/>
      <c r="P559"/>
    </row>
    <row r="560" spans="12:16">
      <c r="L560"/>
      <c r="M560"/>
      <c r="N560"/>
      <c r="O560"/>
      <c r="P560"/>
    </row>
    <row r="561" spans="12:16">
      <c r="L561"/>
      <c r="M561"/>
      <c r="N561"/>
      <c r="O561"/>
      <c r="P561"/>
    </row>
    <row r="562" spans="12:16">
      <c r="L562"/>
      <c r="M562"/>
      <c r="N562"/>
      <c r="O562"/>
      <c r="P562"/>
    </row>
    <row r="563" spans="12:16">
      <c r="L563"/>
      <c r="M563"/>
      <c r="N563"/>
      <c r="O563"/>
      <c r="P563"/>
    </row>
    <row r="564" spans="12:16">
      <c r="L564"/>
      <c r="M564"/>
      <c r="N564"/>
      <c r="O564"/>
      <c r="P564"/>
    </row>
    <row r="565" spans="12:16">
      <c r="L565"/>
      <c r="M565"/>
      <c r="N565"/>
      <c r="O565"/>
      <c r="P565"/>
    </row>
    <row r="566" spans="12:16">
      <c r="L566"/>
      <c r="M566"/>
      <c r="N566"/>
      <c r="O566"/>
      <c r="P566"/>
    </row>
    <row r="567" spans="12:16">
      <c r="L567"/>
      <c r="M567"/>
      <c r="N567"/>
      <c r="O567"/>
      <c r="P567"/>
    </row>
    <row r="568" spans="12:16">
      <c r="L568"/>
      <c r="M568"/>
      <c r="N568"/>
      <c r="O568"/>
      <c r="P568"/>
    </row>
    <row r="569" spans="12:16">
      <c r="L569"/>
      <c r="M569"/>
      <c r="N569"/>
      <c r="O569"/>
      <c r="P569"/>
    </row>
    <row r="570" spans="12:16">
      <c r="L570"/>
      <c r="M570"/>
      <c r="N570"/>
      <c r="O570"/>
      <c r="P570"/>
    </row>
    <row r="571" spans="12:16">
      <c r="L571"/>
      <c r="M571"/>
      <c r="N571"/>
      <c r="O571"/>
      <c r="P571"/>
    </row>
    <row r="572" spans="12:16">
      <c r="L572"/>
      <c r="M572"/>
      <c r="N572"/>
      <c r="O572"/>
      <c r="P572"/>
    </row>
    <row r="573" spans="12:16">
      <c r="L573"/>
      <c r="M573"/>
      <c r="N573"/>
      <c r="O573"/>
      <c r="P573"/>
    </row>
    <row r="574" spans="12:16">
      <c r="L574"/>
      <c r="M574"/>
      <c r="N574"/>
      <c r="O574"/>
      <c r="P574"/>
    </row>
    <row r="575" spans="12:16">
      <c r="L575"/>
      <c r="M575"/>
      <c r="N575"/>
      <c r="O575"/>
      <c r="P575"/>
    </row>
    <row r="576" spans="12:16">
      <c r="L576"/>
      <c r="M576"/>
      <c r="N576"/>
      <c r="O576"/>
      <c r="P576"/>
    </row>
    <row r="577" spans="12:16">
      <c r="L577"/>
      <c r="M577"/>
      <c r="N577"/>
      <c r="O577"/>
      <c r="P577"/>
    </row>
    <row r="578" spans="12:16">
      <c r="L578"/>
      <c r="M578"/>
      <c r="N578"/>
      <c r="O578"/>
      <c r="P578"/>
    </row>
    <row r="579" spans="12:16">
      <c r="L579"/>
      <c r="M579"/>
      <c r="N579"/>
      <c r="O579"/>
      <c r="P579"/>
    </row>
    <row r="580" spans="12:16">
      <c r="L580"/>
      <c r="M580"/>
      <c r="N580"/>
      <c r="O580"/>
      <c r="P580"/>
    </row>
    <row r="581" spans="12:16">
      <c r="L581"/>
      <c r="M581"/>
      <c r="N581"/>
      <c r="O581"/>
      <c r="P581"/>
    </row>
    <row r="582" spans="12:16">
      <c r="L582"/>
      <c r="M582"/>
      <c r="N582"/>
      <c r="O582"/>
      <c r="P582"/>
    </row>
    <row r="583" spans="12:16">
      <c r="L583"/>
      <c r="M583"/>
      <c r="N583"/>
      <c r="O583"/>
      <c r="P583"/>
    </row>
    <row r="584" spans="12:16">
      <c r="L584"/>
      <c r="M584"/>
      <c r="N584"/>
      <c r="O584"/>
      <c r="P584"/>
    </row>
    <row r="585" spans="12:16">
      <c r="L585"/>
      <c r="M585"/>
      <c r="N585"/>
      <c r="O585"/>
      <c r="P585"/>
    </row>
    <row r="586" spans="12:16">
      <c r="L586"/>
      <c r="M586"/>
      <c r="N586"/>
      <c r="O586"/>
      <c r="P586"/>
    </row>
    <row r="587" spans="12:16">
      <c r="L587"/>
      <c r="M587"/>
      <c r="N587"/>
      <c r="O587"/>
      <c r="P587"/>
    </row>
    <row r="588" spans="12:16">
      <c r="L588"/>
      <c r="M588"/>
      <c r="N588"/>
      <c r="O588"/>
      <c r="P588"/>
    </row>
    <row r="589" spans="12:16">
      <c r="L589"/>
      <c r="M589"/>
      <c r="N589"/>
      <c r="O589"/>
      <c r="P589"/>
    </row>
    <row r="590" spans="12:16">
      <c r="L590"/>
      <c r="M590"/>
      <c r="N590"/>
      <c r="O590"/>
      <c r="P590"/>
    </row>
    <row r="591" spans="12:16">
      <c r="L591"/>
      <c r="M591"/>
      <c r="N591"/>
      <c r="O591"/>
      <c r="P591"/>
    </row>
    <row r="592" spans="12:16">
      <c r="L592"/>
      <c r="M592"/>
      <c r="N592"/>
      <c r="O592"/>
      <c r="P592"/>
    </row>
    <row r="593" spans="12:16">
      <c r="L593"/>
      <c r="M593"/>
      <c r="N593"/>
      <c r="O593"/>
      <c r="P593"/>
    </row>
    <row r="594" spans="12:16">
      <c r="L594"/>
      <c r="M594"/>
      <c r="N594"/>
      <c r="O594"/>
      <c r="P594"/>
    </row>
    <row r="595" spans="12:16">
      <c r="L595"/>
      <c r="M595"/>
      <c r="N595"/>
      <c r="O595"/>
      <c r="P595"/>
    </row>
    <row r="596" spans="12:16">
      <c r="L596"/>
      <c r="M596"/>
      <c r="N596"/>
      <c r="O596"/>
      <c r="P596"/>
    </row>
    <row r="597" spans="12:16">
      <c r="L597"/>
      <c r="M597"/>
      <c r="N597"/>
      <c r="O597"/>
      <c r="P597"/>
    </row>
    <row r="598" spans="12:16">
      <c r="L598"/>
      <c r="M598"/>
      <c r="N598"/>
      <c r="O598"/>
      <c r="P598"/>
    </row>
    <row r="599" spans="12:16">
      <c r="L599"/>
      <c r="M599"/>
      <c r="N599"/>
      <c r="O599"/>
      <c r="P599"/>
    </row>
    <row r="600" spans="12:16">
      <c r="L600"/>
      <c r="M600"/>
      <c r="N600"/>
      <c r="O600"/>
      <c r="P600"/>
    </row>
    <row r="601" spans="12:16">
      <c r="L601"/>
      <c r="M601"/>
      <c r="N601"/>
      <c r="O601"/>
      <c r="P601"/>
    </row>
    <row r="602" spans="12:16">
      <c r="L602"/>
      <c r="M602"/>
      <c r="N602"/>
      <c r="O602"/>
      <c r="P602"/>
    </row>
    <row r="603" spans="12:16">
      <c r="L603"/>
      <c r="M603"/>
      <c r="N603"/>
      <c r="O603"/>
      <c r="P603"/>
    </row>
    <row r="604" spans="12:16">
      <c r="L604"/>
      <c r="M604"/>
      <c r="N604"/>
      <c r="O604"/>
      <c r="P604"/>
    </row>
    <row r="605" spans="12:16">
      <c r="L605"/>
      <c r="M605"/>
      <c r="N605"/>
      <c r="O605"/>
      <c r="P605"/>
    </row>
    <row r="606" spans="12:16">
      <c r="L606"/>
      <c r="M606"/>
      <c r="N606"/>
      <c r="O606"/>
      <c r="P606"/>
    </row>
    <row r="607" spans="12:16">
      <c r="L607"/>
      <c r="M607"/>
      <c r="N607"/>
      <c r="O607"/>
      <c r="P607"/>
    </row>
    <row r="608" spans="12:16">
      <c r="L608"/>
      <c r="M608"/>
      <c r="N608"/>
      <c r="O608"/>
      <c r="P608"/>
    </row>
    <row r="609" spans="12:16">
      <c r="L609"/>
      <c r="M609"/>
      <c r="N609"/>
      <c r="O609"/>
      <c r="P609"/>
    </row>
    <row r="610" spans="12:16">
      <c r="L610"/>
      <c r="M610"/>
      <c r="N610"/>
      <c r="O610"/>
      <c r="P610"/>
    </row>
    <row r="611" spans="12:16">
      <c r="L611"/>
      <c r="M611"/>
      <c r="N611"/>
      <c r="O611"/>
      <c r="P611"/>
    </row>
    <row r="612" spans="12:16">
      <c r="L612"/>
      <c r="M612"/>
      <c r="N612"/>
      <c r="O612"/>
      <c r="P612"/>
    </row>
    <row r="613" spans="12:16">
      <c r="L613"/>
      <c r="M613"/>
      <c r="N613"/>
      <c r="O613"/>
      <c r="P613"/>
    </row>
    <row r="614" spans="12:16">
      <c r="L614"/>
      <c r="M614"/>
      <c r="N614"/>
      <c r="O614"/>
      <c r="P614"/>
    </row>
    <row r="615" spans="12:16">
      <c r="L615"/>
      <c r="M615"/>
      <c r="N615"/>
      <c r="O615"/>
      <c r="P615"/>
    </row>
    <row r="616" spans="12:16">
      <c r="L616"/>
      <c r="M616"/>
      <c r="N616"/>
      <c r="O616"/>
      <c r="P616"/>
    </row>
    <row r="617" spans="12:16">
      <c r="L617"/>
      <c r="M617"/>
      <c r="N617"/>
      <c r="O617"/>
      <c r="P617"/>
    </row>
    <row r="618" spans="12:16">
      <c r="L618"/>
      <c r="M618"/>
      <c r="N618"/>
      <c r="O618"/>
      <c r="P618"/>
    </row>
    <row r="619" spans="12:16">
      <c r="L619"/>
      <c r="M619"/>
      <c r="N619"/>
      <c r="O619"/>
      <c r="P619"/>
    </row>
    <row r="620" spans="12:16">
      <c r="L620"/>
      <c r="M620"/>
      <c r="N620"/>
      <c r="O620"/>
      <c r="P620"/>
    </row>
    <row r="621" spans="12:16">
      <c r="L621"/>
      <c r="M621"/>
      <c r="N621"/>
      <c r="O621"/>
      <c r="P621"/>
    </row>
    <row r="622" spans="12:16">
      <c r="L622"/>
      <c r="M622"/>
      <c r="N622"/>
      <c r="O622"/>
      <c r="P622"/>
    </row>
    <row r="623" spans="12:16">
      <c r="L623"/>
      <c r="M623"/>
      <c r="N623"/>
      <c r="O623"/>
      <c r="P623"/>
    </row>
    <row r="624" spans="12:16">
      <c r="L624"/>
      <c r="M624"/>
      <c r="N624"/>
      <c r="O624"/>
      <c r="P624"/>
    </row>
    <row r="625" spans="12:16">
      <c r="L625"/>
      <c r="M625"/>
      <c r="N625"/>
      <c r="O625"/>
      <c r="P625"/>
    </row>
    <row r="626" spans="12:16">
      <c r="L626"/>
      <c r="M626"/>
      <c r="N626"/>
      <c r="O626"/>
      <c r="P626"/>
    </row>
    <row r="627" spans="12:16">
      <c r="L627"/>
      <c r="M627"/>
      <c r="N627"/>
      <c r="O627"/>
      <c r="P627"/>
    </row>
    <row r="628" spans="12:16">
      <c r="L628"/>
      <c r="M628"/>
      <c r="N628"/>
      <c r="O628"/>
      <c r="P628"/>
    </row>
    <row r="629" spans="12:16">
      <c r="L629"/>
      <c r="M629"/>
      <c r="N629"/>
      <c r="O629"/>
      <c r="P629"/>
    </row>
    <row r="630" spans="12:16">
      <c r="L630"/>
      <c r="M630"/>
      <c r="N630"/>
      <c r="O630"/>
      <c r="P630"/>
    </row>
    <row r="631" spans="12:16">
      <c r="L631"/>
      <c r="M631"/>
      <c r="N631"/>
      <c r="O631"/>
      <c r="P631"/>
    </row>
    <row r="632" spans="12:16">
      <c r="L632"/>
      <c r="M632"/>
      <c r="N632"/>
      <c r="O632"/>
      <c r="P632"/>
    </row>
    <row r="633" spans="12:16">
      <c r="L633"/>
      <c r="M633"/>
      <c r="N633"/>
      <c r="O633"/>
      <c r="P633"/>
    </row>
    <row r="634" spans="12:16">
      <c r="L634"/>
      <c r="M634"/>
      <c r="N634"/>
      <c r="O634"/>
      <c r="P634"/>
    </row>
    <row r="635" spans="12:16">
      <c r="L635"/>
      <c r="M635"/>
      <c r="N635"/>
      <c r="O635"/>
      <c r="P635"/>
    </row>
    <row r="636" spans="12:16">
      <c r="L636"/>
      <c r="M636"/>
      <c r="N636"/>
      <c r="O636"/>
      <c r="P636"/>
    </row>
    <row r="637" spans="12:16">
      <c r="L637"/>
      <c r="M637"/>
      <c r="N637"/>
      <c r="O637"/>
      <c r="P637"/>
    </row>
    <row r="638" spans="12:16">
      <c r="L638"/>
      <c r="M638"/>
      <c r="N638"/>
      <c r="O638"/>
      <c r="P638"/>
    </row>
    <row r="639" spans="12:16">
      <c r="L639"/>
      <c r="M639"/>
      <c r="N639"/>
      <c r="O639"/>
      <c r="P639"/>
    </row>
    <row r="640" spans="12:16">
      <c r="L640"/>
      <c r="M640"/>
      <c r="N640"/>
      <c r="O640"/>
      <c r="P640"/>
    </row>
    <row r="641" spans="12:16">
      <c r="L641"/>
      <c r="M641"/>
      <c r="N641"/>
      <c r="O641"/>
      <c r="P641"/>
    </row>
    <row r="642" spans="12:16">
      <c r="L642"/>
      <c r="M642"/>
      <c r="N642"/>
      <c r="O642"/>
      <c r="P642"/>
    </row>
    <row r="643" spans="12:16">
      <c r="L643"/>
      <c r="M643"/>
      <c r="N643"/>
      <c r="O643"/>
      <c r="P643"/>
    </row>
    <row r="644" spans="12:16">
      <c r="L644"/>
      <c r="M644"/>
      <c r="N644"/>
      <c r="O644"/>
      <c r="P644"/>
    </row>
    <row r="645" spans="12:16">
      <c r="L645"/>
      <c r="M645"/>
      <c r="N645"/>
      <c r="O645"/>
      <c r="P645"/>
    </row>
    <row r="646" spans="12:16">
      <c r="L646"/>
      <c r="M646"/>
      <c r="N646"/>
      <c r="O646"/>
      <c r="P646"/>
    </row>
    <row r="647" spans="12:16">
      <c r="L647"/>
      <c r="M647"/>
      <c r="N647"/>
      <c r="O647"/>
      <c r="P647"/>
    </row>
    <row r="648" spans="12:16">
      <c r="L648"/>
      <c r="M648"/>
      <c r="N648"/>
      <c r="O648"/>
      <c r="P648"/>
    </row>
    <row r="649" spans="12:16">
      <c r="L649"/>
      <c r="M649"/>
      <c r="N649"/>
      <c r="O649"/>
      <c r="P649"/>
    </row>
    <row r="650" spans="12:16">
      <c r="L650"/>
      <c r="M650"/>
      <c r="N650"/>
      <c r="O650"/>
      <c r="P650"/>
    </row>
    <row r="651" spans="12:16">
      <c r="L651"/>
      <c r="M651"/>
      <c r="N651"/>
      <c r="O651"/>
      <c r="P651"/>
    </row>
    <row r="652" spans="12:16">
      <c r="L652"/>
      <c r="M652"/>
      <c r="N652"/>
      <c r="O652"/>
      <c r="P652"/>
    </row>
    <row r="653" spans="12:16">
      <c r="L653"/>
      <c r="M653"/>
      <c r="N653"/>
      <c r="O653"/>
      <c r="P653"/>
    </row>
    <row r="654" spans="12:16">
      <c r="L654"/>
      <c r="M654"/>
      <c r="N654"/>
      <c r="O654"/>
      <c r="P654"/>
    </row>
    <row r="655" spans="12:16">
      <c r="L655"/>
      <c r="M655"/>
      <c r="N655"/>
      <c r="O655"/>
      <c r="P655"/>
    </row>
    <row r="656" spans="12:16">
      <c r="L656"/>
      <c r="M656"/>
      <c r="N656"/>
      <c r="O656"/>
      <c r="P656"/>
    </row>
    <row r="657" spans="12:16">
      <c r="L657"/>
      <c r="M657"/>
      <c r="N657"/>
      <c r="O657"/>
      <c r="P657"/>
    </row>
    <row r="658" spans="12:16">
      <c r="L658"/>
      <c r="M658"/>
      <c r="N658"/>
      <c r="O658"/>
      <c r="P658"/>
    </row>
    <row r="659" spans="12:16">
      <c r="L659"/>
      <c r="M659"/>
      <c r="N659"/>
      <c r="O659"/>
      <c r="P659"/>
    </row>
    <row r="660" spans="12:16">
      <c r="L660"/>
      <c r="M660"/>
      <c r="N660"/>
      <c r="O660"/>
      <c r="P660"/>
    </row>
    <row r="661" spans="12:16">
      <c r="L661"/>
      <c r="M661"/>
      <c r="N661"/>
      <c r="O661"/>
      <c r="P661"/>
    </row>
    <row r="662" spans="12:16">
      <c r="L662"/>
      <c r="M662"/>
      <c r="N662"/>
      <c r="O662"/>
      <c r="P662"/>
    </row>
    <row r="663" spans="12:16">
      <c r="L663"/>
      <c r="M663"/>
      <c r="N663"/>
      <c r="O663"/>
      <c r="P663"/>
    </row>
    <row r="664" spans="12:16">
      <c r="L664"/>
      <c r="M664"/>
      <c r="N664"/>
      <c r="O664"/>
      <c r="P664"/>
    </row>
    <row r="665" spans="12:16">
      <c r="L665"/>
      <c r="M665"/>
      <c r="N665"/>
      <c r="O665"/>
      <c r="P665"/>
    </row>
    <row r="666" spans="12:16">
      <c r="L666"/>
      <c r="M666"/>
      <c r="N666"/>
      <c r="O666"/>
      <c r="P666"/>
    </row>
    <row r="667" spans="12:16">
      <c r="L667"/>
      <c r="M667"/>
      <c r="N667"/>
      <c r="O667"/>
      <c r="P667"/>
    </row>
    <row r="668" spans="12:16">
      <c r="L668"/>
      <c r="M668"/>
      <c r="N668"/>
      <c r="O668"/>
      <c r="P668"/>
    </row>
    <row r="669" spans="12:16">
      <c r="L669"/>
      <c r="M669"/>
      <c r="N669"/>
      <c r="O669"/>
      <c r="P669"/>
    </row>
    <row r="670" spans="12:16">
      <c r="L670"/>
      <c r="M670"/>
      <c r="N670"/>
      <c r="O670"/>
      <c r="P670"/>
    </row>
    <row r="671" spans="12:16">
      <c r="L671"/>
      <c r="M671"/>
      <c r="N671"/>
      <c r="O671"/>
      <c r="P671"/>
    </row>
    <row r="672" spans="12:16">
      <c r="L672"/>
      <c r="M672"/>
      <c r="N672"/>
      <c r="O672"/>
      <c r="P672"/>
    </row>
    <row r="673" spans="12:16">
      <c r="L673"/>
      <c r="M673"/>
      <c r="N673"/>
      <c r="O673"/>
      <c r="P673"/>
    </row>
    <row r="674" spans="12:16">
      <c r="L674"/>
      <c r="M674"/>
      <c r="N674"/>
      <c r="O674"/>
      <c r="P674"/>
    </row>
    <row r="675" spans="12:16">
      <c r="L675"/>
      <c r="M675"/>
      <c r="N675"/>
      <c r="O675"/>
      <c r="P675"/>
    </row>
    <row r="676" spans="12:16">
      <c r="L676"/>
      <c r="M676"/>
      <c r="N676"/>
      <c r="O676"/>
      <c r="P676"/>
    </row>
    <row r="677" spans="12:16">
      <c r="L677"/>
      <c r="M677"/>
      <c r="N677"/>
      <c r="O677"/>
      <c r="P677"/>
    </row>
    <row r="678" spans="12:16">
      <c r="L678"/>
      <c r="M678"/>
      <c r="N678"/>
      <c r="O678"/>
      <c r="P678"/>
    </row>
    <row r="679" spans="12:16">
      <c r="L679"/>
      <c r="M679"/>
      <c r="N679"/>
      <c r="O679"/>
      <c r="P679"/>
    </row>
    <row r="680" spans="12:16">
      <c r="L680"/>
      <c r="M680"/>
      <c r="N680"/>
      <c r="O680"/>
      <c r="P680"/>
    </row>
    <row r="681" spans="12:16">
      <c r="L681"/>
      <c r="M681"/>
      <c r="N681"/>
      <c r="O681"/>
      <c r="P681"/>
    </row>
    <row r="682" spans="12:16">
      <c r="L682"/>
      <c r="M682"/>
      <c r="N682"/>
      <c r="O682"/>
      <c r="P682"/>
    </row>
    <row r="683" spans="12:16">
      <c r="L683"/>
      <c r="M683"/>
      <c r="N683"/>
      <c r="O683"/>
      <c r="P683"/>
    </row>
    <row r="684" spans="12:16">
      <c r="L684"/>
      <c r="M684"/>
      <c r="N684"/>
      <c r="O684"/>
      <c r="P684"/>
    </row>
    <row r="685" spans="12:16">
      <c r="L685"/>
      <c r="M685"/>
      <c r="N685"/>
      <c r="O685"/>
      <c r="P685"/>
    </row>
    <row r="686" spans="12:16">
      <c r="L686"/>
      <c r="M686"/>
      <c r="N686"/>
      <c r="O686"/>
      <c r="P686"/>
    </row>
    <row r="687" spans="12:16">
      <c r="L687"/>
      <c r="M687"/>
      <c r="N687"/>
      <c r="O687"/>
      <c r="P687"/>
    </row>
    <row r="688" spans="12:16">
      <c r="L688"/>
      <c r="M688"/>
      <c r="N688"/>
      <c r="O688"/>
      <c r="P688"/>
    </row>
    <row r="689" spans="12:16">
      <c r="L689"/>
      <c r="M689"/>
      <c r="N689"/>
      <c r="O689"/>
      <c r="P689"/>
    </row>
    <row r="690" spans="12:16">
      <c r="L690"/>
      <c r="M690"/>
      <c r="N690"/>
      <c r="O690"/>
      <c r="P690"/>
    </row>
    <row r="691" spans="12:16">
      <c r="L691"/>
      <c r="M691"/>
      <c r="N691"/>
      <c r="O691"/>
      <c r="P691"/>
    </row>
    <row r="692" spans="12:16">
      <c r="L692"/>
      <c r="M692"/>
      <c r="N692"/>
      <c r="O692"/>
      <c r="P692"/>
    </row>
  </sheetData>
  <conditionalFormatting sqref="C1:G1">
    <cfRule type="duplicateValues" dxfId="292" priority="328"/>
  </conditionalFormatting>
  <conditionalFormatting sqref="E1 E182:E1048576 E63 D2:D74">
    <cfRule type="cellIs" dxfId="291" priority="327" operator="equal">
      <formula>$I$1</formula>
    </cfRule>
  </conditionalFormatting>
  <conditionalFormatting sqref="E1 E182:E1048576 E63 D2:D74">
    <cfRule type="cellIs" dxfId="290" priority="326" operator="equal">
      <formula>$I$2</formula>
    </cfRule>
  </conditionalFormatting>
  <conditionalFormatting sqref="E1 E182:E1048576 E63 D2:D74">
    <cfRule type="cellIs" dxfId="289" priority="325" operator="equal">
      <formula>$I$3</formula>
    </cfRule>
  </conditionalFormatting>
  <conditionalFormatting sqref="I1">
    <cfRule type="cellIs" dxfId="288" priority="324" operator="equal">
      <formula>$I$1</formula>
    </cfRule>
  </conditionalFormatting>
  <conditionalFormatting sqref="I1">
    <cfRule type="cellIs" dxfId="287" priority="323" operator="equal">
      <formula>$I$2</formula>
    </cfRule>
  </conditionalFormatting>
  <conditionalFormatting sqref="I1">
    <cfRule type="cellIs" dxfId="286" priority="322" operator="equal">
      <formula>$I$3</formula>
    </cfRule>
  </conditionalFormatting>
  <conditionalFormatting sqref="I2">
    <cfRule type="cellIs" dxfId="285" priority="321" operator="equal">
      <formula>$I$1</formula>
    </cfRule>
  </conditionalFormatting>
  <conditionalFormatting sqref="I2">
    <cfRule type="cellIs" dxfId="284" priority="320" operator="equal">
      <formula>$I$2</formula>
    </cfRule>
  </conditionalFormatting>
  <conditionalFormatting sqref="I2">
    <cfRule type="cellIs" dxfId="283" priority="319" operator="equal">
      <formula>$I$3</formula>
    </cfRule>
  </conditionalFormatting>
  <conditionalFormatting sqref="I3">
    <cfRule type="cellIs" dxfId="282" priority="318" operator="equal">
      <formula>$I$1</formula>
    </cfRule>
  </conditionalFormatting>
  <conditionalFormatting sqref="I3">
    <cfRule type="cellIs" dxfId="281" priority="317" operator="equal">
      <formula>$I$2</formula>
    </cfRule>
  </conditionalFormatting>
  <conditionalFormatting sqref="I3">
    <cfRule type="cellIs" dxfId="280" priority="316" operator="equal">
      <formula>$I$3</formula>
    </cfRule>
  </conditionalFormatting>
  <conditionalFormatting sqref="F1:G1">
    <cfRule type="cellIs" dxfId="279" priority="315" operator="equal">
      <formula>$I$1</formula>
    </cfRule>
  </conditionalFormatting>
  <conditionalFormatting sqref="F1:G1">
    <cfRule type="cellIs" dxfId="278" priority="314" operator="equal">
      <formula>$I$2</formula>
    </cfRule>
  </conditionalFormatting>
  <conditionalFormatting sqref="F1:G1">
    <cfRule type="cellIs" dxfId="277" priority="313" operator="equal">
      <formula>$I$3</formula>
    </cfRule>
  </conditionalFormatting>
  <conditionalFormatting sqref="B1">
    <cfRule type="duplicateValues" dxfId="276" priority="430"/>
  </conditionalFormatting>
  <conditionalFormatting sqref="E23:E40 E52:E53">
    <cfRule type="cellIs" dxfId="275" priority="303" operator="equal">
      <formula>$I$1</formula>
    </cfRule>
  </conditionalFormatting>
  <conditionalFormatting sqref="E23:E40 E52:E53">
    <cfRule type="cellIs" dxfId="274" priority="302" operator="equal">
      <formula>$I$2</formula>
    </cfRule>
  </conditionalFormatting>
  <conditionalFormatting sqref="E23:E40 E52:E53">
    <cfRule type="cellIs" dxfId="273" priority="301" operator="equal">
      <formula>$I$3</formula>
    </cfRule>
  </conditionalFormatting>
  <conditionalFormatting sqref="E41:E47">
    <cfRule type="cellIs" dxfId="272" priority="297" operator="equal">
      <formula>$I$1</formula>
    </cfRule>
  </conditionalFormatting>
  <conditionalFormatting sqref="E41:E47">
    <cfRule type="cellIs" dxfId="271" priority="296" operator="equal">
      <formula>$I$2</formula>
    </cfRule>
  </conditionalFormatting>
  <conditionalFormatting sqref="E41:E47">
    <cfRule type="cellIs" dxfId="270" priority="295" operator="equal">
      <formula>$I$3</formula>
    </cfRule>
  </conditionalFormatting>
  <conditionalFormatting sqref="E48:E51">
    <cfRule type="cellIs" dxfId="269" priority="294" operator="equal">
      <formula>$I$1</formula>
    </cfRule>
  </conditionalFormatting>
  <conditionalFormatting sqref="E48:E51">
    <cfRule type="cellIs" dxfId="268" priority="293" operator="equal">
      <formula>$I$2</formula>
    </cfRule>
  </conditionalFormatting>
  <conditionalFormatting sqref="E48:E51">
    <cfRule type="cellIs" dxfId="267" priority="292" operator="equal">
      <formula>$I$3</formula>
    </cfRule>
  </conditionalFormatting>
  <conditionalFormatting sqref="E2:E22">
    <cfRule type="cellIs" dxfId="266" priority="291" operator="equal">
      <formula>$I$1</formula>
    </cfRule>
  </conditionalFormatting>
  <conditionalFormatting sqref="E2:E22">
    <cfRule type="cellIs" dxfId="265" priority="290" operator="equal">
      <formula>$I$2</formula>
    </cfRule>
  </conditionalFormatting>
  <conditionalFormatting sqref="E2:E22">
    <cfRule type="cellIs" dxfId="264" priority="289" operator="equal">
      <formula>$I$3</formula>
    </cfRule>
  </conditionalFormatting>
  <conditionalFormatting sqref="D75">
    <cfRule type="cellIs" dxfId="263" priority="288" operator="equal">
      <formula>$I$1</formula>
    </cfRule>
  </conditionalFormatting>
  <conditionalFormatting sqref="D75">
    <cfRule type="cellIs" dxfId="262" priority="287" operator="equal">
      <formula>$I$2</formula>
    </cfRule>
  </conditionalFormatting>
  <conditionalFormatting sqref="D75">
    <cfRule type="cellIs" dxfId="261" priority="286" operator="equal">
      <formula>$I$3</formula>
    </cfRule>
  </conditionalFormatting>
  <conditionalFormatting sqref="D76">
    <cfRule type="cellIs" dxfId="260" priority="285" operator="equal">
      <formula>$I$1</formula>
    </cfRule>
  </conditionalFormatting>
  <conditionalFormatting sqref="D76">
    <cfRule type="cellIs" dxfId="259" priority="284" operator="equal">
      <formula>$I$2</formula>
    </cfRule>
  </conditionalFormatting>
  <conditionalFormatting sqref="D76">
    <cfRule type="cellIs" dxfId="258" priority="283" operator="equal">
      <formula>$I$3</formula>
    </cfRule>
  </conditionalFormatting>
  <conditionalFormatting sqref="D77">
    <cfRule type="cellIs" dxfId="257" priority="282" operator="equal">
      <formula>$I$1</formula>
    </cfRule>
  </conditionalFormatting>
  <conditionalFormatting sqref="D77">
    <cfRule type="cellIs" dxfId="256" priority="281" operator="equal">
      <formula>$I$2</formula>
    </cfRule>
  </conditionalFormatting>
  <conditionalFormatting sqref="D77">
    <cfRule type="cellIs" dxfId="255" priority="280" operator="equal">
      <formula>$I$3</formula>
    </cfRule>
  </conditionalFormatting>
  <conditionalFormatting sqref="E64:E71">
    <cfRule type="cellIs" dxfId="254" priority="273" operator="equal">
      <formula>$I$1</formula>
    </cfRule>
  </conditionalFormatting>
  <conditionalFormatting sqref="E64:E71">
    <cfRule type="cellIs" dxfId="253" priority="272" operator="equal">
      <formula>$I$2</formula>
    </cfRule>
  </conditionalFormatting>
  <conditionalFormatting sqref="E64:E71">
    <cfRule type="cellIs" dxfId="252" priority="271" operator="equal">
      <formula>$I$3</formula>
    </cfRule>
  </conditionalFormatting>
  <conditionalFormatting sqref="E72">
    <cfRule type="cellIs" dxfId="251" priority="270" operator="equal">
      <formula>$I$1</formula>
    </cfRule>
  </conditionalFormatting>
  <conditionalFormatting sqref="E72">
    <cfRule type="cellIs" dxfId="250" priority="269" operator="equal">
      <formula>$I$2</formula>
    </cfRule>
  </conditionalFormatting>
  <conditionalFormatting sqref="E72">
    <cfRule type="cellIs" dxfId="249" priority="268" operator="equal">
      <formula>$I$3</formula>
    </cfRule>
  </conditionalFormatting>
  <conditionalFormatting sqref="E76:E77">
    <cfRule type="cellIs" dxfId="248" priority="267" operator="equal">
      <formula>$I$1</formula>
    </cfRule>
  </conditionalFormatting>
  <conditionalFormatting sqref="E76:E77">
    <cfRule type="cellIs" dxfId="247" priority="266" operator="equal">
      <formula>$I$2</formula>
    </cfRule>
  </conditionalFormatting>
  <conditionalFormatting sqref="E76:E77">
    <cfRule type="cellIs" dxfId="246" priority="265" operator="equal">
      <formula>$I$3</formula>
    </cfRule>
  </conditionalFormatting>
  <conditionalFormatting sqref="E73:E75">
    <cfRule type="cellIs" dxfId="245" priority="258" operator="equal">
      <formula>$I$1</formula>
    </cfRule>
  </conditionalFormatting>
  <conditionalFormatting sqref="E73:E75">
    <cfRule type="cellIs" dxfId="244" priority="257" operator="equal">
      <formula>$I$2</formula>
    </cfRule>
  </conditionalFormatting>
  <conditionalFormatting sqref="E73:E75">
    <cfRule type="cellIs" dxfId="243" priority="256" operator="equal">
      <formula>$I$3</formula>
    </cfRule>
  </conditionalFormatting>
  <conditionalFormatting sqref="D78:D80">
    <cfRule type="cellIs" dxfId="242" priority="255" operator="equal">
      <formula>$I$1</formula>
    </cfRule>
  </conditionalFormatting>
  <conditionalFormatting sqref="D78:D80">
    <cfRule type="cellIs" dxfId="241" priority="254" operator="equal">
      <formula>$I$2</formula>
    </cfRule>
  </conditionalFormatting>
  <conditionalFormatting sqref="D78:D80">
    <cfRule type="cellIs" dxfId="240" priority="253" operator="equal">
      <formula>$I$3</formula>
    </cfRule>
  </conditionalFormatting>
  <conditionalFormatting sqref="D83">
    <cfRule type="cellIs" dxfId="239" priority="252" operator="equal">
      <formula>$I$1</formula>
    </cfRule>
  </conditionalFormatting>
  <conditionalFormatting sqref="D83">
    <cfRule type="cellIs" dxfId="238" priority="251" operator="equal">
      <formula>$I$2</formula>
    </cfRule>
  </conditionalFormatting>
  <conditionalFormatting sqref="D83">
    <cfRule type="cellIs" dxfId="237" priority="250" operator="equal">
      <formula>$I$3</formula>
    </cfRule>
  </conditionalFormatting>
  <conditionalFormatting sqref="D86:E86">
    <cfRule type="cellIs" dxfId="236" priority="249" operator="equal">
      <formula>$I$1</formula>
    </cfRule>
  </conditionalFormatting>
  <conditionalFormatting sqref="D86:E86">
    <cfRule type="cellIs" dxfId="235" priority="248" operator="equal">
      <formula>$I$2</formula>
    </cfRule>
  </conditionalFormatting>
  <conditionalFormatting sqref="D86:E86">
    <cfRule type="cellIs" dxfId="234" priority="247" operator="equal">
      <formula>$I$3</formula>
    </cfRule>
  </conditionalFormatting>
  <conditionalFormatting sqref="D81">
    <cfRule type="cellIs" dxfId="233" priority="246" operator="equal">
      <formula>$I$1</formula>
    </cfRule>
  </conditionalFormatting>
  <conditionalFormatting sqref="D81">
    <cfRule type="cellIs" dxfId="232" priority="245" operator="equal">
      <formula>$I$2</formula>
    </cfRule>
  </conditionalFormatting>
  <conditionalFormatting sqref="D81">
    <cfRule type="cellIs" dxfId="231" priority="244" operator="equal">
      <formula>$I$3</formula>
    </cfRule>
  </conditionalFormatting>
  <conditionalFormatting sqref="D82">
    <cfRule type="cellIs" dxfId="230" priority="243" operator="equal">
      <formula>$I$1</formula>
    </cfRule>
  </conditionalFormatting>
  <conditionalFormatting sqref="D82">
    <cfRule type="cellIs" dxfId="229" priority="242" operator="equal">
      <formula>$I$2</formula>
    </cfRule>
  </conditionalFormatting>
  <conditionalFormatting sqref="D82">
    <cfRule type="cellIs" dxfId="228" priority="241" operator="equal">
      <formula>$I$3</formula>
    </cfRule>
  </conditionalFormatting>
  <conditionalFormatting sqref="D84">
    <cfRule type="cellIs" dxfId="227" priority="240" operator="equal">
      <formula>$I$1</formula>
    </cfRule>
  </conditionalFormatting>
  <conditionalFormatting sqref="D84">
    <cfRule type="cellIs" dxfId="226" priority="239" operator="equal">
      <formula>$I$2</formula>
    </cfRule>
  </conditionalFormatting>
  <conditionalFormatting sqref="D84">
    <cfRule type="cellIs" dxfId="225" priority="238" operator="equal">
      <formula>$I$3</formula>
    </cfRule>
  </conditionalFormatting>
  <conditionalFormatting sqref="D85">
    <cfRule type="cellIs" dxfId="224" priority="237" operator="equal">
      <formula>$I$1</formula>
    </cfRule>
  </conditionalFormatting>
  <conditionalFormatting sqref="D85">
    <cfRule type="cellIs" dxfId="223" priority="236" operator="equal">
      <formula>$I$2</formula>
    </cfRule>
  </conditionalFormatting>
  <conditionalFormatting sqref="D85">
    <cfRule type="cellIs" dxfId="222" priority="235" operator="equal">
      <formula>$I$3</formula>
    </cfRule>
  </conditionalFormatting>
  <conditionalFormatting sqref="D87">
    <cfRule type="cellIs" dxfId="221" priority="234" operator="equal">
      <formula>$I$1</formula>
    </cfRule>
  </conditionalFormatting>
  <conditionalFormatting sqref="D87">
    <cfRule type="cellIs" dxfId="220" priority="233" operator="equal">
      <formula>$I$2</formula>
    </cfRule>
  </conditionalFormatting>
  <conditionalFormatting sqref="D87">
    <cfRule type="cellIs" dxfId="219" priority="232" operator="equal">
      <formula>$I$3</formula>
    </cfRule>
  </conditionalFormatting>
  <conditionalFormatting sqref="D89">
    <cfRule type="cellIs" dxfId="218" priority="231" operator="equal">
      <formula>$I$1</formula>
    </cfRule>
  </conditionalFormatting>
  <conditionalFormatting sqref="D89">
    <cfRule type="cellIs" dxfId="217" priority="230" operator="equal">
      <formula>$I$2</formula>
    </cfRule>
  </conditionalFormatting>
  <conditionalFormatting sqref="D89">
    <cfRule type="cellIs" dxfId="216" priority="229" operator="equal">
      <formula>$I$3</formula>
    </cfRule>
  </conditionalFormatting>
  <conditionalFormatting sqref="D88">
    <cfRule type="cellIs" dxfId="215" priority="228" operator="equal">
      <formula>$I$1</formula>
    </cfRule>
  </conditionalFormatting>
  <conditionalFormatting sqref="D88">
    <cfRule type="cellIs" dxfId="214" priority="227" operator="equal">
      <formula>$I$2</formula>
    </cfRule>
  </conditionalFormatting>
  <conditionalFormatting sqref="D88">
    <cfRule type="cellIs" dxfId="213" priority="226" operator="equal">
      <formula>$I$3</formula>
    </cfRule>
  </conditionalFormatting>
  <conditionalFormatting sqref="D90:D91">
    <cfRule type="cellIs" dxfId="212" priority="225" operator="equal">
      <formula>$I$1</formula>
    </cfRule>
  </conditionalFormatting>
  <conditionalFormatting sqref="D90:D91">
    <cfRule type="cellIs" dxfId="211" priority="224" operator="equal">
      <formula>$I$2</formula>
    </cfRule>
  </conditionalFormatting>
  <conditionalFormatting sqref="D90:D91">
    <cfRule type="cellIs" dxfId="210" priority="223" operator="equal">
      <formula>$I$3</formula>
    </cfRule>
  </conditionalFormatting>
  <conditionalFormatting sqref="E81:E82 E84:E85 E87:E91 E93:E98">
    <cfRule type="cellIs" dxfId="209" priority="222" operator="equal">
      <formula>$I$1</formula>
    </cfRule>
  </conditionalFormatting>
  <conditionalFormatting sqref="E81:E82 E84:E85 E87:E91 E93:E98">
    <cfRule type="cellIs" dxfId="208" priority="221" operator="equal">
      <formula>$I$2</formula>
    </cfRule>
  </conditionalFormatting>
  <conditionalFormatting sqref="E81:E82 E84:E85 E87:E91 E93:E98">
    <cfRule type="cellIs" dxfId="207" priority="220" operator="equal">
      <formula>$I$3</formula>
    </cfRule>
  </conditionalFormatting>
  <conditionalFormatting sqref="E83">
    <cfRule type="cellIs" dxfId="206" priority="219" operator="equal">
      <formula>$I$1</formula>
    </cfRule>
  </conditionalFormatting>
  <conditionalFormatting sqref="E83">
    <cfRule type="cellIs" dxfId="205" priority="218" operator="equal">
      <formula>$I$2</formula>
    </cfRule>
  </conditionalFormatting>
  <conditionalFormatting sqref="E83">
    <cfRule type="cellIs" dxfId="204" priority="217" operator="equal">
      <formula>$I$3</formula>
    </cfRule>
  </conditionalFormatting>
  <conditionalFormatting sqref="E80">
    <cfRule type="cellIs" dxfId="203" priority="216" operator="equal">
      <formula>$I$1</formula>
    </cfRule>
  </conditionalFormatting>
  <conditionalFormatting sqref="E80">
    <cfRule type="cellIs" dxfId="202" priority="215" operator="equal">
      <formula>$I$2</formula>
    </cfRule>
  </conditionalFormatting>
  <conditionalFormatting sqref="E80">
    <cfRule type="cellIs" dxfId="201" priority="214" operator="equal">
      <formula>$I$3</formula>
    </cfRule>
  </conditionalFormatting>
  <conditionalFormatting sqref="D99">
    <cfRule type="cellIs" dxfId="200" priority="213" operator="equal">
      <formula>$I$1</formula>
    </cfRule>
  </conditionalFormatting>
  <conditionalFormatting sqref="D99">
    <cfRule type="cellIs" dxfId="199" priority="212" operator="equal">
      <formula>$I$2</formula>
    </cfRule>
  </conditionalFormatting>
  <conditionalFormatting sqref="D99">
    <cfRule type="cellIs" dxfId="198" priority="211" operator="equal">
      <formula>$I$3</formula>
    </cfRule>
  </conditionalFormatting>
  <conditionalFormatting sqref="D92:E92">
    <cfRule type="cellIs" dxfId="197" priority="210" operator="equal">
      <formula>$I$1</formula>
    </cfRule>
  </conditionalFormatting>
  <conditionalFormatting sqref="D92:E92">
    <cfRule type="cellIs" dxfId="196" priority="209" operator="equal">
      <formula>$I$2</formula>
    </cfRule>
  </conditionalFormatting>
  <conditionalFormatting sqref="D92:E92">
    <cfRule type="cellIs" dxfId="195" priority="208" operator="equal">
      <formula>$I$3</formula>
    </cfRule>
  </conditionalFormatting>
  <conditionalFormatting sqref="D93:D98">
    <cfRule type="cellIs" dxfId="194" priority="207" operator="equal">
      <formula>$I$1</formula>
    </cfRule>
  </conditionalFormatting>
  <conditionalFormatting sqref="D93:D98">
    <cfRule type="cellIs" dxfId="193" priority="206" operator="equal">
      <formula>$I$2</formula>
    </cfRule>
  </conditionalFormatting>
  <conditionalFormatting sqref="D93:D98">
    <cfRule type="cellIs" dxfId="192" priority="205" operator="equal">
      <formula>$I$3</formula>
    </cfRule>
  </conditionalFormatting>
  <conditionalFormatting sqref="E99">
    <cfRule type="cellIs" dxfId="191" priority="204" operator="equal">
      <formula>$I$1</formula>
    </cfRule>
  </conditionalFormatting>
  <conditionalFormatting sqref="E99">
    <cfRule type="cellIs" dxfId="190" priority="203" operator="equal">
      <formula>$I$2</formula>
    </cfRule>
  </conditionalFormatting>
  <conditionalFormatting sqref="E99">
    <cfRule type="cellIs" dxfId="189" priority="202" operator="equal">
      <formula>$I$3</formula>
    </cfRule>
  </conditionalFormatting>
  <conditionalFormatting sqref="D109">
    <cfRule type="cellIs" dxfId="188" priority="201" operator="equal">
      <formula>$I$1</formula>
    </cfRule>
  </conditionalFormatting>
  <conditionalFormatting sqref="D109">
    <cfRule type="cellIs" dxfId="187" priority="200" operator="equal">
      <formula>$I$2</formula>
    </cfRule>
  </conditionalFormatting>
  <conditionalFormatting sqref="D109">
    <cfRule type="cellIs" dxfId="186" priority="199" operator="equal">
      <formula>$I$3</formula>
    </cfRule>
  </conditionalFormatting>
  <conditionalFormatting sqref="D100:D108">
    <cfRule type="cellIs" dxfId="185" priority="198" operator="equal">
      <formula>$I$1</formula>
    </cfRule>
  </conditionalFormatting>
  <conditionalFormatting sqref="D100:D108">
    <cfRule type="cellIs" dxfId="184" priority="197" operator="equal">
      <formula>$I$2</formula>
    </cfRule>
  </conditionalFormatting>
  <conditionalFormatting sqref="D100:D108">
    <cfRule type="cellIs" dxfId="183" priority="196" operator="equal">
      <formula>$I$3</formula>
    </cfRule>
  </conditionalFormatting>
  <conditionalFormatting sqref="D118:D134 D110:D116">
    <cfRule type="cellIs" dxfId="182" priority="195" operator="equal">
      <formula>$I$1</formula>
    </cfRule>
  </conditionalFormatting>
  <conditionalFormatting sqref="D118:D134 D110:D116">
    <cfRule type="cellIs" dxfId="181" priority="194" operator="equal">
      <formula>$I$2</formula>
    </cfRule>
  </conditionalFormatting>
  <conditionalFormatting sqref="D118:D134 D110:D116">
    <cfRule type="cellIs" dxfId="180" priority="193" operator="equal">
      <formula>$I$3</formula>
    </cfRule>
  </conditionalFormatting>
  <conditionalFormatting sqref="E100:E116 E118:E136">
    <cfRule type="cellIs" dxfId="179" priority="192" operator="equal">
      <formula>$I$1</formula>
    </cfRule>
  </conditionalFormatting>
  <conditionalFormatting sqref="E100:E116 E118:E136">
    <cfRule type="cellIs" dxfId="178" priority="191" operator="equal">
      <formula>$I$2</formula>
    </cfRule>
  </conditionalFormatting>
  <conditionalFormatting sqref="E100:E116 E118:E136">
    <cfRule type="cellIs" dxfId="177" priority="190" operator="equal">
      <formula>$I$3</formula>
    </cfRule>
  </conditionalFormatting>
  <conditionalFormatting sqref="D135">
    <cfRule type="cellIs" dxfId="176" priority="189" operator="equal">
      <formula>$I$1</formula>
    </cfRule>
  </conditionalFormatting>
  <conditionalFormatting sqref="D135">
    <cfRule type="cellIs" dxfId="175" priority="188" operator="equal">
      <formula>$I$2</formula>
    </cfRule>
  </conditionalFormatting>
  <conditionalFormatting sqref="D135">
    <cfRule type="cellIs" dxfId="174" priority="187" operator="equal">
      <formula>$I$3</formula>
    </cfRule>
  </conditionalFormatting>
  <conditionalFormatting sqref="D136">
    <cfRule type="cellIs" dxfId="173" priority="186" operator="equal">
      <formula>$I$1</formula>
    </cfRule>
  </conditionalFormatting>
  <conditionalFormatting sqref="D136">
    <cfRule type="cellIs" dxfId="172" priority="185" operator="equal">
      <formula>$I$2</formula>
    </cfRule>
  </conditionalFormatting>
  <conditionalFormatting sqref="D136">
    <cfRule type="cellIs" dxfId="171" priority="184" operator="equal">
      <formula>$I$3</formula>
    </cfRule>
  </conditionalFormatting>
  <conditionalFormatting sqref="D137:D138 D140">
    <cfRule type="cellIs" dxfId="170" priority="183" operator="equal">
      <formula>$I$1</formula>
    </cfRule>
  </conditionalFormatting>
  <conditionalFormatting sqref="D137:D138 D140">
    <cfRule type="cellIs" dxfId="169" priority="182" operator="equal">
      <formula>$I$2</formula>
    </cfRule>
  </conditionalFormatting>
  <conditionalFormatting sqref="D137:D138 D140">
    <cfRule type="cellIs" dxfId="168" priority="181" operator="equal">
      <formula>$I$3</formula>
    </cfRule>
  </conditionalFormatting>
  <conditionalFormatting sqref="E137">
    <cfRule type="cellIs" dxfId="167" priority="180" operator="equal">
      <formula>$I$1</formula>
    </cfRule>
  </conditionalFormatting>
  <conditionalFormatting sqref="E137">
    <cfRule type="cellIs" dxfId="166" priority="179" operator="equal">
      <formula>$I$2</formula>
    </cfRule>
  </conditionalFormatting>
  <conditionalFormatting sqref="E137">
    <cfRule type="cellIs" dxfId="165" priority="178" operator="equal">
      <formula>$I$3</formula>
    </cfRule>
  </conditionalFormatting>
  <conditionalFormatting sqref="E138 E140">
    <cfRule type="cellIs" dxfId="164" priority="174" operator="equal">
      <formula>$I$1</formula>
    </cfRule>
  </conditionalFormatting>
  <conditionalFormatting sqref="E138 E140">
    <cfRule type="cellIs" dxfId="163" priority="173" operator="equal">
      <formula>$I$2</formula>
    </cfRule>
  </conditionalFormatting>
  <conditionalFormatting sqref="E138 E140">
    <cfRule type="cellIs" dxfId="162" priority="172" operator="equal">
      <formula>$I$3</formula>
    </cfRule>
  </conditionalFormatting>
  <conditionalFormatting sqref="D143">
    <cfRule type="cellIs" dxfId="161" priority="171" operator="equal">
      <formula>$I$1</formula>
    </cfRule>
  </conditionalFormatting>
  <conditionalFormatting sqref="D143">
    <cfRule type="cellIs" dxfId="160" priority="170" operator="equal">
      <formula>$I$2</formula>
    </cfRule>
  </conditionalFormatting>
  <conditionalFormatting sqref="D143">
    <cfRule type="cellIs" dxfId="159" priority="169" operator="equal">
      <formula>$I$3</formula>
    </cfRule>
  </conditionalFormatting>
  <conditionalFormatting sqref="D144">
    <cfRule type="cellIs" dxfId="158" priority="168" operator="equal">
      <formula>$I$1</formula>
    </cfRule>
  </conditionalFormatting>
  <conditionalFormatting sqref="D144">
    <cfRule type="cellIs" dxfId="157" priority="167" operator="equal">
      <formula>$I$2</formula>
    </cfRule>
  </conditionalFormatting>
  <conditionalFormatting sqref="D144">
    <cfRule type="cellIs" dxfId="156" priority="166" operator="equal">
      <formula>$I$3</formula>
    </cfRule>
  </conditionalFormatting>
  <conditionalFormatting sqref="D146">
    <cfRule type="cellIs" dxfId="155" priority="165" operator="equal">
      <formula>$I$1</formula>
    </cfRule>
  </conditionalFormatting>
  <conditionalFormatting sqref="D146">
    <cfRule type="cellIs" dxfId="154" priority="164" operator="equal">
      <formula>$I$2</formula>
    </cfRule>
  </conditionalFormatting>
  <conditionalFormatting sqref="D146">
    <cfRule type="cellIs" dxfId="153" priority="163" operator="equal">
      <formula>$I$3</formula>
    </cfRule>
  </conditionalFormatting>
  <conditionalFormatting sqref="D147">
    <cfRule type="cellIs" dxfId="152" priority="162" operator="equal">
      <formula>$I$1</formula>
    </cfRule>
  </conditionalFormatting>
  <conditionalFormatting sqref="D147">
    <cfRule type="cellIs" dxfId="151" priority="161" operator="equal">
      <formula>$I$2</formula>
    </cfRule>
  </conditionalFormatting>
  <conditionalFormatting sqref="D147">
    <cfRule type="cellIs" dxfId="150" priority="160" operator="equal">
      <formula>$I$3</formula>
    </cfRule>
  </conditionalFormatting>
  <conditionalFormatting sqref="D141:E141">
    <cfRule type="cellIs" dxfId="149" priority="159" operator="equal">
      <formula>$I$1</formula>
    </cfRule>
  </conditionalFormatting>
  <conditionalFormatting sqref="D141:E141">
    <cfRule type="cellIs" dxfId="148" priority="158" operator="equal">
      <formula>$I$2</formula>
    </cfRule>
  </conditionalFormatting>
  <conditionalFormatting sqref="D141:E141">
    <cfRule type="cellIs" dxfId="147" priority="157" operator="equal">
      <formula>$I$3</formula>
    </cfRule>
  </conditionalFormatting>
  <conditionalFormatting sqref="D142">
    <cfRule type="cellIs" dxfId="146" priority="156" operator="equal">
      <formula>$I$1</formula>
    </cfRule>
  </conditionalFormatting>
  <conditionalFormatting sqref="D142">
    <cfRule type="cellIs" dxfId="145" priority="155" operator="equal">
      <formula>$I$2</formula>
    </cfRule>
  </conditionalFormatting>
  <conditionalFormatting sqref="D142">
    <cfRule type="cellIs" dxfId="144" priority="154" operator="equal">
      <formula>$I$3</formula>
    </cfRule>
  </conditionalFormatting>
  <conditionalFormatting sqref="D145">
    <cfRule type="cellIs" dxfId="143" priority="153" operator="equal">
      <formula>$I$1</formula>
    </cfRule>
  </conditionalFormatting>
  <conditionalFormatting sqref="D145">
    <cfRule type="cellIs" dxfId="142" priority="152" operator="equal">
      <formula>$I$2</formula>
    </cfRule>
  </conditionalFormatting>
  <conditionalFormatting sqref="D145">
    <cfRule type="cellIs" dxfId="141" priority="151" operator="equal">
      <formula>$I$3</formula>
    </cfRule>
  </conditionalFormatting>
  <conditionalFormatting sqref="E144">
    <cfRule type="cellIs" dxfId="140" priority="150" operator="equal">
      <formula>$I$1</formula>
    </cfRule>
  </conditionalFormatting>
  <conditionalFormatting sqref="E144">
    <cfRule type="cellIs" dxfId="139" priority="149" operator="equal">
      <formula>$I$2</formula>
    </cfRule>
  </conditionalFormatting>
  <conditionalFormatting sqref="E144">
    <cfRule type="cellIs" dxfId="138" priority="148" operator="equal">
      <formula>$I$3</formula>
    </cfRule>
  </conditionalFormatting>
  <conditionalFormatting sqref="E147">
    <cfRule type="cellIs" dxfId="137" priority="147" operator="equal">
      <formula>$I$1</formula>
    </cfRule>
  </conditionalFormatting>
  <conditionalFormatting sqref="E147">
    <cfRule type="cellIs" dxfId="136" priority="146" operator="equal">
      <formula>$I$2</formula>
    </cfRule>
  </conditionalFormatting>
  <conditionalFormatting sqref="E147">
    <cfRule type="cellIs" dxfId="135" priority="145" operator="equal">
      <formula>$I$3</formula>
    </cfRule>
  </conditionalFormatting>
  <conditionalFormatting sqref="E143">
    <cfRule type="cellIs" dxfId="134" priority="144" operator="equal">
      <formula>$I$1</formula>
    </cfRule>
  </conditionalFormatting>
  <conditionalFormatting sqref="E143">
    <cfRule type="cellIs" dxfId="133" priority="143" operator="equal">
      <formula>$I$2</formula>
    </cfRule>
  </conditionalFormatting>
  <conditionalFormatting sqref="E143">
    <cfRule type="cellIs" dxfId="132" priority="142" operator="equal">
      <formula>$I$3</formula>
    </cfRule>
  </conditionalFormatting>
  <conditionalFormatting sqref="D149">
    <cfRule type="cellIs" dxfId="131" priority="141" operator="equal">
      <formula>$I$1</formula>
    </cfRule>
  </conditionalFormatting>
  <conditionalFormatting sqref="D149">
    <cfRule type="cellIs" dxfId="130" priority="140" operator="equal">
      <formula>$I$2</formula>
    </cfRule>
  </conditionalFormatting>
  <conditionalFormatting sqref="D149">
    <cfRule type="cellIs" dxfId="129" priority="139" operator="equal">
      <formula>$I$3</formula>
    </cfRule>
  </conditionalFormatting>
  <conditionalFormatting sqref="D151">
    <cfRule type="cellIs" dxfId="128" priority="138" operator="equal">
      <formula>$I$1</formula>
    </cfRule>
  </conditionalFormatting>
  <conditionalFormatting sqref="D151">
    <cfRule type="cellIs" dxfId="127" priority="137" operator="equal">
      <formula>$I$2</formula>
    </cfRule>
  </conditionalFormatting>
  <conditionalFormatting sqref="D151">
    <cfRule type="cellIs" dxfId="126" priority="136" operator="equal">
      <formula>$I$3</formula>
    </cfRule>
  </conditionalFormatting>
  <conditionalFormatting sqref="D153">
    <cfRule type="cellIs" dxfId="125" priority="135" operator="equal">
      <formula>$I$1</formula>
    </cfRule>
  </conditionalFormatting>
  <conditionalFormatting sqref="D153">
    <cfRule type="cellIs" dxfId="124" priority="134" operator="equal">
      <formula>$I$2</formula>
    </cfRule>
  </conditionalFormatting>
  <conditionalFormatting sqref="D153">
    <cfRule type="cellIs" dxfId="123" priority="133" operator="equal">
      <formula>$I$3</formula>
    </cfRule>
  </conditionalFormatting>
  <conditionalFormatting sqref="D154">
    <cfRule type="cellIs" dxfId="122" priority="132" operator="equal">
      <formula>$I$1</formula>
    </cfRule>
  </conditionalFormatting>
  <conditionalFormatting sqref="D154">
    <cfRule type="cellIs" dxfId="121" priority="131" operator="equal">
      <formula>$I$2</formula>
    </cfRule>
  </conditionalFormatting>
  <conditionalFormatting sqref="D154">
    <cfRule type="cellIs" dxfId="120" priority="130" operator="equal">
      <formula>$I$3</formula>
    </cfRule>
  </conditionalFormatting>
  <conditionalFormatting sqref="D155">
    <cfRule type="cellIs" dxfId="119" priority="129" operator="equal">
      <formula>$I$1</formula>
    </cfRule>
  </conditionalFormatting>
  <conditionalFormatting sqref="D155">
    <cfRule type="cellIs" dxfId="118" priority="128" operator="equal">
      <formula>$I$2</formula>
    </cfRule>
  </conditionalFormatting>
  <conditionalFormatting sqref="D155">
    <cfRule type="cellIs" dxfId="117" priority="127" operator="equal">
      <formula>$I$3</formula>
    </cfRule>
  </conditionalFormatting>
  <conditionalFormatting sqref="E146">
    <cfRule type="cellIs" dxfId="116" priority="117" operator="equal">
      <formula>$I$1</formula>
    </cfRule>
  </conditionalFormatting>
  <conditionalFormatting sqref="E146">
    <cfRule type="cellIs" dxfId="115" priority="116" operator="equal">
      <formula>$I$2</formula>
    </cfRule>
  </conditionalFormatting>
  <conditionalFormatting sqref="E146">
    <cfRule type="cellIs" dxfId="114" priority="115" operator="equal">
      <formula>$I$3</formula>
    </cfRule>
  </conditionalFormatting>
  <conditionalFormatting sqref="D157">
    <cfRule type="cellIs" dxfId="113" priority="114" operator="equal">
      <formula>$I$1</formula>
    </cfRule>
  </conditionalFormatting>
  <conditionalFormatting sqref="D157">
    <cfRule type="cellIs" dxfId="112" priority="113" operator="equal">
      <formula>$I$2</formula>
    </cfRule>
  </conditionalFormatting>
  <conditionalFormatting sqref="D157">
    <cfRule type="cellIs" dxfId="111" priority="112" operator="equal">
      <formula>$I$3</formula>
    </cfRule>
  </conditionalFormatting>
  <conditionalFormatting sqref="D159">
    <cfRule type="cellIs" dxfId="110" priority="111" operator="equal">
      <formula>$I$1</formula>
    </cfRule>
  </conditionalFormatting>
  <conditionalFormatting sqref="D159">
    <cfRule type="cellIs" dxfId="109" priority="110" operator="equal">
      <formula>$I$2</formula>
    </cfRule>
  </conditionalFormatting>
  <conditionalFormatting sqref="D159">
    <cfRule type="cellIs" dxfId="108" priority="109" operator="equal">
      <formula>$I$3</formula>
    </cfRule>
  </conditionalFormatting>
  <conditionalFormatting sqref="D160">
    <cfRule type="cellIs" dxfId="107" priority="108" operator="equal">
      <formula>$I$1</formula>
    </cfRule>
  </conditionalFormatting>
  <conditionalFormatting sqref="D160">
    <cfRule type="cellIs" dxfId="106" priority="107" operator="equal">
      <formula>$I$2</formula>
    </cfRule>
  </conditionalFormatting>
  <conditionalFormatting sqref="D160">
    <cfRule type="cellIs" dxfId="105" priority="106" operator="equal">
      <formula>$I$3</formula>
    </cfRule>
  </conditionalFormatting>
  <conditionalFormatting sqref="D161">
    <cfRule type="cellIs" dxfId="104" priority="105" operator="equal">
      <formula>$I$1</formula>
    </cfRule>
  </conditionalFormatting>
  <conditionalFormatting sqref="D161">
    <cfRule type="cellIs" dxfId="103" priority="104" operator="equal">
      <formula>$I$2</formula>
    </cfRule>
  </conditionalFormatting>
  <conditionalFormatting sqref="D161">
    <cfRule type="cellIs" dxfId="102" priority="103" operator="equal">
      <formula>$I$3</formula>
    </cfRule>
  </conditionalFormatting>
  <conditionalFormatting sqref="D162">
    <cfRule type="cellIs" dxfId="101" priority="102" operator="equal">
      <formula>$I$1</formula>
    </cfRule>
  </conditionalFormatting>
  <conditionalFormatting sqref="D162">
    <cfRule type="cellIs" dxfId="100" priority="101" operator="equal">
      <formula>$I$2</formula>
    </cfRule>
  </conditionalFormatting>
  <conditionalFormatting sqref="D162">
    <cfRule type="cellIs" dxfId="99" priority="100" operator="equal">
      <formula>$I$3</formula>
    </cfRule>
  </conditionalFormatting>
  <conditionalFormatting sqref="D164:E164">
    <cfRule type="cellIs" dxfId="98" priority="99" operator="equal">
      <formula>$I$1</formula>
    </cfRule>
  </conditionalFormatting>
  <conditionalFormatting sqref="D164:E164">
    <cfRule type="cellIs" dxfId="97" priority="98" operator="equal">
      <formula>$I$2</formula>
    </cfRule>
  </conditionalFormatting>
  <conditionalFormatting sqref="D164:E164">
    <cfRule type="cellIs" dxfId="96" priority="97" operator="equal">
      <formula>$I$3</formula>
    </cfRule>
  </conditionalFormatting>
  <conditionalFormatting sqref="E149">
    <cfRule type="cellIs" dxfId="95" priority="96" operator="equal">
      <formula>$I$1</formula>
    </cfRule>
  </conditionalFormatting>
  <conditionalFormatting sqref="E149">
    <cfRule type="cellIs" dxfId="94" priority="95" operator="equal">
      <formula>$I$2</formula>
    </cfRule>
  </conditionalFormatting>
  <conditionalFormatting sqref="E149">
    <cfRule type="cellIs" dxfId="93" priority="94" operator="equal">
      <formula>$I$3</formula>
    </cfRule>
  </conditionalFormatting>
  <conditionalFormatting sqref="E151">
    <cfRule type="cellIs" dxfId="92" priority="93" operator="equal">
      <formula>$I$1</formula>
    </cfRule>
  </conditionalFormatting>
  <conditionalFormatting sqref="E151">
    <cfRule type="cellIs" dxfId="91" priority="92" operator="equal">
      <formula>$I$2</formula>
    </cfRule>
  </conditionalFormatting>
  <conditionalFormatting sqref="E151">
    <cfRule type="cellIs" dxfId="90" priority="91" operator="equal">
      <formula>$I$3</formula>
    </cfRule>
  </conditionalFormatting>
  <conditionalFormatting sqref="E153">
    <cfRule type="cellIs" dxfId="89" priority="90" operator="equal">
      <formula>$I$1</formula>
    </cfRule>
  </conditionalFormatting>
  <conditionalFormatting sqref="E153">
    <cfRule type="cellIs" dxfId="88" priority="89" operator="equal">
      <formula>$I$2</formula>
    </cfRule>
  </conditionalFormatting>
  <conditionalFormatting sqref="E153">
    <cfRule type="cellIs" dxfId="87" priority="88" operator="equal">
      <formula>$I$3</formula>
    </cfRule>
  </conditionalFormatting>
  <conditionalFormatting sqref="E154">
    <cfRule type="cellIs" dxfId="86" priority="87" operator="equal">
      <formula>$I$1</formula>
    </cfRule>
  </conditionalFormatting>
  <conditionalFormatting sqref="E154">
    <cfRule type="cellIs" dxfId="85" priority="86" operator="equal">
      <formula>$I$2</formula>
    </cfRule>
  </conditionalFormatting>
  <conditionalFormatting sqref="E154">
    <cfRule type="cellIs" dxfId="84" priority="85" operator="equal">
      <formula>$I$3</formula>
    </cfRule>
  </conditionalFormatting>
  <conditionalFormatting sqref="E155">
    <cfRule type="cellIs" dxfId="83" priority="84" operator="equal">
      <formula>$I$1</formula>
    </cfRule>
  </conditionalFormatting>
  <conditionalFormatting sqref="E155">
    <cfRule type="cellIs" dxfId="82" priority="83" operator="equal">
      <formula>$I$2</formula>
    </cfRule>
  </conditionalFormatting>
  <conditionalFormatting sqref="E155">
    <cfRule type="cellIs" dxfId="81" priority="82" operator="equal">
      <formula>$I$3</formula>
    </cfRule>
  </conditionalFormatting>
  <conditionalFormatting sqref="D170">
    <cfRule type="cellIs" dxfId="80" priority="81" operator="equal">
      <formula>$I$1</formula>
    </cfRule>
  </conditionalFormatting>
  <conditionalFormatting sqref="D170">
    <cfRule type="cellIs" dxfId="79" priority="80" operator="equal">
      <formula>$I$2</formula>
    </cfRule>
  </conditionalFormatting>
  <conditionalFormatting sqref="D170">
    <cfRule type="cellIs" dxfId="78" priority="79" operator="equal">
      <formula>$I$3</formula>
    </cfRule>
  </conditionalFormatting>
  <conditionalFormatting sqref="E170">
    <cfRule type="cellIs" dxfId="77" priority="78" operator="equal">
      <formula>$I$1</formula>
    </cfRule>
  </conditionalFormatting>
  <conditionalFormatting sqref="E170">
    <cfRule type="cellIs" dxfId="76" priority="77" operator="equal">
      <formula>$I$2</formula>
    </cfRule>
  </conditionalFormatting>
  <conditionalFormatting sqref="E170">
    <cfRule type="cellIs" dxfId="75" priority="76" operator="equal">
      <formula>$I$3</formula>
    </cfRule>
  </conditionalFormatting>
  <conditionalFormatting sqref="E157">
    <cfRule type="cellIs" dxfId="74" priority="75" operator="equal">
      <formula>$I$1</formula>
    </cfRule>
  </conditionalFormatting>
  <conditionalFormatting sqref="E157">
    <cfRule type="cellIs" dxfId="73" priority="74" operator="equal">
      <formula>$I$2</formula>
    </cfRule>
  </conditionalFormatting>
  <conditionalFormatting sqref="E157">
    <cfRule type="cellIs" dxfId="72" priority="73" operator="equal">
      <formula>$I$3</formula>
    </cfRule>
  </conditionalFormatting>
  <conditionalFormatting sqref="E159">
    <cfRule type="cellIs" dxfId="71" priority="72" operator="equal">
      <formula>$I$1</formula>
    </cfRule>
  </conditionalFormatting>
  <conditionalFormatting sqref="E159">
    <cfRule type="cellIs" dxfId="70" priority="71" operator="equal">
      <formula>$I$2</formula>
    </cfRule>
  </conditionalFormatting>
  <conditionalFormatting sqref="E159">
    <cfRule type="cellIs" dxfId="69" priority="70" operator="equal">
      <formula>$I$3</formula>
    </cfRule>
  </conditionalFormatting>
  <conditionalFormatting sqref="E160">
    <cfRule type="cellIs" dxfId="68" priority="69" operator="equal">
      <formula>$I$1</formula>
    </cfRule>
  </conditionalFormatting>
  <conditionalFormatting sqref="E160">
    <cfRule type="cellIs" dxfId="67" priority="68" operator="equal">
      <formula>$I$2</formula>
    </cfRule>
  </conditionalFormatting>
  <conditionalFormatting sqref="E160">
    <cfRule type="cellIs" dxfId="66" priority="67" operator="equal">
      <formula>$I$3</formula>
    </cfRule>
  </conditionalFormatting>
  <conditionalFormatting sqref="E161">
    <cfRule type="cellIs" dxfId="65" priority="66" operator="equal">
      <formula>$I$1</formula>
    </cfRule>
  </conditionalFormatting>
  <conditionalFormatting sqref="E161">
    <cfRule type="cellIs" dxfId="64" priority="65" operator="equal">
      <formula>$I$2</formula>
    </cfRule>
  </conditionalFormatting>
  <conditionalFormatting sqref="E161">
    <cfRule type="cellIs" dxfId="63" priority="64" operator="equal">
      <formula>$I$3</formula>
    </cfRule>
  </conditionalFormatting>
  <conditionalFormatting sqref="E162">
    <cfRule type="cellIs" dxfId="62" priority="63" operator="equal">
      <formula>$I$1</formula>
    </cfRule>
  </conditionalFormatting>
  <conditionalFormatting sqref="E162">
    <cfRule type="cellIs" dxfId="61" priority="62" operator="equal">
      <formula>$I$2</formula>
    </cfRule>
  </conditionalFormatting>
  <conditionalFormatting sqref="E162">
    <cfRule type="cellIs" dxfId="60" priority="61" operator="equal">
      <formula>$I$3</formula>
    </cfRule>
  </conditionalFormatting>
  <conditionalFormatting sqref="E142">
    <cfRule type="cellIs" dxfId="59" priority="60" operator="equal">
      <formula>$I$1</formula>
    </cfRule>
  </conditionalFormatting>
  <conditionalFormatting sqref="E142">
    <cfRule type="cellIs" dxfId="58" priority="59" operator="equal">
      <formula>$I$2</formula>
    </cfRule>
  </conditionalFormatting>
  <conditionalFormatting sqref="E142">
    <cfRule type="cellIs" dxfId="57" priority="58" operator="equal">
      <formula>$I$3</formula>
    </cfRule>
  </conditionalFormatting>
  <conditionalFormatting sqref="E145">
    <cfRule type="cellIs" dxfId="56" priority="57" operator="equal">
      <formula>$I$1</formula>
    </cfRule>
  </conditionalFormatting>
  <conditionalFormatting sqref="E145">
    <cfRule type="cellIs" dxfId="55" priority="56" operator="equal">
      <formula>$I$2</formula>
    </cfRule>
  </conditionalFormatting>
  <conditionalFormatting sqref="E145">
    <cfRule type="cellIs" dxfId="54" priority="55" operator="equal">
      <formula>$I$3</formula>
    </cfRule>
  </conditionalFormatting>
  <conditionalFormatting sqref="D148:E148">
    <cfRule type="cellIs" dxfId="53" priority="54" operator="equal">
      <formula>$I$1</formula>
    </cfRule>
  </conditionalFormatting>
  <conditionalFormatting sqref="D148:E148">
    <cfRule type="cellIs" dxfId="52" priority="53" operator="equal">
      <formula>$I$2</formula>
    </cfRule>
  </conditionalFormatting>
  <conditionalFormatting sqref="D148:E148">
    <cfRule type="cellIs" dxfId="51" priority="52" operator="equal">
      <formula>$I$3</formula>
    </cfRule>
  </conditionalFormatting>
  <conditionalFormatting sqref="D150:E150">
    <cfRule type="cellIs" dxfId="50" priority="51" operator="equal">
      <formula>$I$1</formula>
    </cfRule>
  </conditionalFormatting>
  <conditionalFormatting sqref="D150:E150">
    <cfRule type="cellIs" dxfId="49" priority="50" operator="equal">
      <formula>$I$2</formula>
    </cfRule>
  </conditionalFormatting>
  <conditionalFormatting sqref="D150:E150">
    <cfRule type="cellIs" dxfId="48" priority="49" operator="equal">
      <formula>$I$3</formula>
    </cfRule>
  </conditionalFormatting>
  <conditionalFormatting sqref="D152:E152">
    <cfRule type="cellIs" dxfId="47" priority="48" operator="equal">
      <formula>$I$1</formula>
    </cfRule>
  </conditionalFormatting>
  <conditionalFormatting sqref="D152:E152">
    <cfRule type="cellIs" dxfId="46" priority="47" operator="equal">
      <formula>$I$2</formula>
    </cfRule>
  </conditionalFormatting>
  <conditionalFormatting sqref="D152:E152">
    <cfRule type="cellIs" dxfId="45" priority="46" operator="equal">
      <formula>$I$3</formula>
    </cfRule>
  </conditionalFormatting>
  <conditionalFormatting sqref="D156:E156">
    <cfRule type="cellIs" dxfId="44" priority="45" operator="equal">
      <formula>$I$1</formula>
    </cfRule>
  </conditionalFormatting>
  <conditionalFormatting sqref="D156:E156">
    <cfRule type="cellIs" dxfId="43" priority="44" operator="equal">
      <formula>$I$2</formula>
    </cfRule>
  </conditionalFormatting>
  <conditionalFormatting sqref="D156:E156">
    <cfRule type="cellIs" dxfId="42" priority="43" operator="equal">
      <formula>$I$3</formula>
    </cfRule>
  </conditionalFormatting>
  <conditionalFormatting sqref="D158:E158">
    <cfRule type="cellIs" dxfId="41" priority="42" operator="equal">
      <formula>$I$1</formula>
    </cfRule>
  </conditionalFormatting>
  <conditionalFormatting sqref="D158:E158">
    <cfRule type="cellIs" dxfId="40" priority="41" operator="equal">
      <formula>$I$2</formula>
    </cfRule>
  </conditionalFormatting>
  <conditionalFormatting sqref="D158:E158">
    <cfRule type="cellIs" dxfId="39" priority="40" operator="equal">
      <formula>$I$3</formula>
    </cfRule>
  </conditionalFormatting>
  <conditionalFormatting sqref="D163:E163">
    <cfRule type="cellIs" dxfId="38" priority="39" operator="equal">
      <formula>$I$1</formula>
    </cfRule>
  </conditionalFormatting>
  <conditionalFormatting sqref="D163:E163">
    <cfRule type="cellIs" dxfId="37" priority="38" operator="equal">
      <formula>$I$2</formula>
    </cfRule>
  </conditionalFormatting>
  <conditionalFormatting sqref="D163:E163">
    <cfRule type="cellIs" dxfId="36" priority="37" operator="equal">
      <formula>$I$3</formula>
    </cfRule>
  </conditionalFormatting>
  <conditionalFormatting sqref="D165:E169">
    <cfRule type="cellIs" dxfId="35" priority="36" operator="equal">
      <formula>$I$1</formula>
    </cfRule>
  </conditionalFormatting>
  <conditionalFormatting sqref="D165:E169">
    <cfRule type="cellIs" dxfId="34" priority="35" operator="equal">
      <formula>$I$2</formula>
    </cfRule>
  </conditionalFormatting>
  <conditionalFormatting sqref="D165:E169">
    <cfRule type="cellIs" dxfId="33" priority="34" operator="equal">
      <formula>$I$3</formula>
    </cfRule>
  </conditionalFormatting>
  <conditionalFormatting sqref="D171:E175">
    <cfRule type="cellIs" dxfId="32" priority="33" operator="equal">
      <formula>$I$1</formula>
    </cfRule>
  </conditionalFormatting>
  <conditionalFormatting sqref="D171:E175">
    <cfRule type="cellIs" dxfId="31" priority="32" operator="equal">
      <formula>$I$2</formula>
    </cfRule>
  </conditionalFormatting>
  <conditionalFormatting sqref="D171:E175">
    <cfRule type="cellIs" dxfId="30" priority="31" operator="equal">
      <formula>$I$3</formula>
    </cfRule>
  </conditionalFormatting>
  <conditionalFormatting sqref="E54:E62">
    <cfRule type="cellIs" dxfId="29" priority="30" operator="equal">
      <formula>$I$1</formula>
    </cfRule>
  </conditionalFormatting>
  <conditionalFormatting sqref="E54:E62">
    <cfRule type="cellIs" dxfId="28" priority="29" operator="equal">
      <formula>$I$2</formula>
    </cfRule>
  </conditionalFormatting>
  <conditionalFormatting sqref="E54:E62">
    <cfRule type="cellIs" dxfId="27" priority="28" operator="equal">
      <formula>$I$3</formula>
    </cfRule>
  </conditionalFormatting>
  <conditionalFormatting sqref="D139">
    <cfRule type="cellIs" dxfId="26" priority="27" operator="equal">
      <formula>$I$1</formula>
    </cfRule>
  </conditionalFormatting>
  <conditionalFormatting sqref="D139">
    <cfRule type="cellIs" dxfId="25" priority="26" operator="equal">
      <formula>$I$2</formula>
    </cfRule>
  </conditionalFormatting>
  <conditionalFormatting sqref="D139">
    <cfRule type="cellIs" dxfId="24" priority="25" operator="equal">
      <formula>$I$3</formula>
    </cfRule>
  </conditionalFormatting>
  <conditionalFormatting sqref="E139">
    <cfRule type="cellIs" dxfId="23" priority="24" operator="equal">
      <formula>$I$1</formula>
    </cfRule>
  </conditionalFormatting>
  <conditionalFormatting sqref="E139">
    <cfRule type="cellIs" dxfId="22" priority="23" operator="equal">
      <formula>$I$2</formula>
    </cfRule>
  </conditionalFormatting>
  <conditionalFormatting sqref="E139">
    <cfRule type="cellIs" dxfId="21" priority="22" operator="equal">
      <formula>$I$3</formula>
    </cfRule>
  </conditionalFormatting>
  <conditionalFormatting sqref="D176:D181">
    <cfRule type="cellIs" dxfId="20" priority="21" operator="equal">
      <formula>$I$1</formula>
    </cfRule>
  </conditionalFormatting>
  <conditionalFormatting sqref="D176:D181">
    <cfRule type="cellIs" dxfId="19" priority="20" operator="equal">
      <formula>$I$2</formula>
    </cfRule>
  </conditionalFormatting>
  <conditionalFormatting sqref="D176:D181">
    <cfRule type="cellIs" dxfId="18" priority="19" operator="equal">
      <formula>$I$3</formula>
    </cfRule>
  </conditionalFormatting>
  <conditionalFormatting sqref="E176:E180">
    <cfRule type="cellIs" dxfId="17" priority="18" operator="equal">
      <formula>$I$1</formula>
    </cfRule>
  </conditionalFormatting>
  <conditionalFormatting sqref="E176:E180">
    <cfRule type="cellIs" dxfId="16" priority="17" operator="equal">
      <formula>$I$2</formula>
    </cfRule>
  </conditionalFormatting>
  <conditionalFormatting sqref="E176:E180">
    <cfRule type="cellIs" dxfId="15" priority="16" operator="equal">
      <formula>$I$3</formula>
    </cfRule>
  </conditionalFormatting>
  <conditionalFormatting sqref="E181">
    <cfRule type="cellIs" dxfId="14" priority="15" operator="equal">
      <formula>$I$1</formula>
    </cfRule>
  </conditionalFormatting>
  <conditionalFormatting sqref="E181">
    <cfRule type="cellIs" dxfId="13" priority="14" operator="equal">
      <formula>$I$2</formula>
    </cfRule>
  </conditionalFormatting>
  <conditionalFormatting sqref="E181">
    <cfRule type="cellIs" dxfId="12" priority="13" operator="equal">
      <formula>$I$3</formula>
    </cfRule>
  </conditionalFormatting>
  <conditionalFormatting sqref="D117">
    <cfRule type="cellIs" dxfId="11" priority="12" operator="equal">
      <formula>$I$1</formula>
    </cfRule>
  </conditionalFormatting>
  <conditionalFormatting sqref="D117">
    <cfRule type="cellIs" dxfId="10" priority="11" operator="equal">
      <formula>$I$2</formula>
    </cfRule>
  </conditionalFormatting>
  <conditionalFormatting sqref="D117">
    <cfRule type="cellIs" dxfId="9" priority="10" operator="equal">
      <formula>$I$3</formula>
    </cfRule>
  </conditionalFormatting>
  <conditionalFormatting sqref="E117">
    <cfRule type="cellIs" dxfId="8" priority="9" operator="equal">
      <formula>$I$1</formula>
    </cfRule>
  </conditionalFormatting>
  <conditionalFormatting sqref="E117">
    <cfRule type="cellIs" dxfId="7" priority="8" operator="equal">
      <formula>$I$2</formula>
    </cfRule>
  </conditionalFormatting>
  <conditionalFormatting sqref="E117">
    <cfRule type="cellIs" dxfId="6" priority="7" operator="equal">
      <formula>$I$3</formula>
    </cfRule>
  </conditionalFormatting>
  <conditionalFormatting sqref="E78">
    <cfRule type="cellIs" dxfId="5" priority="6" operator="equal">
      <formula>$I$1</formula>
    </cfRule>
  </conditionalFormatting>
  <conditionalFormatting sqref="E78">
    <cfRule type="cellIs" dxfId="4" priority="5" operator="equal">
      <formula>$I$2</formula>
    </cfRule>
  </conditionalFormatting>
  <conditionalFormatting sqref="E78">
    <cfRule type="cellIs" dxfId="3" priority="4" operator="equal">
      <formula>$I$3</formula>
    </cfRule>
  </conditionalFormatting>
  <conditionalFormatting sqref="E79">
    <cfRule type="cellIs" dxfId="2" priority="3" operator="equal">
      <formula>$I$1</formula>
    </cfRule>
  </conditionalFormatting>
  <conditionalFormatting sqref="E79">
    <cfRule type="cellIs" dxfId="1" priority="2" operator="equal">
      <formula>$I$2</formula>
    </cfRule>
  </conditionalFormatting>
  <conditionalFormatting sqref="E79">
    <cfRule type="cellIs" dxfId="0" priority="1" operator="equal">
      <formula>$I$3</formula>
    </cfRule>
  </conditionalFormatting>
  <dataValidations count="1">
    <dataValidation type="list" allowBlank="1" showInputMessage="1" showErrorMessage="1" sqref="I1:I3 D2:E181" xr:uid="{6FF1ED09-6F78-468C-BB29-8B3C0AF6A5BA}">
      <formula1>$I$1:$I$3</formula1>
    </dataValidation>
  </dataValidations>
  <hyperlinks>
    <hyperlink ref="F52" r:id="rId2" display="Run of Ingestion_Framework of mdp-framework-1.0.1 - Databricks (azuredatabricks.net)" xr:uid="{5B0ECB3C-7184-4DC8-9EBD-93798B778E69}"/>
    <hyperlink ref="F63" r:id="rId3" xr:uid="{8CC5AE9B-B1F6-4780-BAFF-CDB2CBE06948}"/>
    <hyperlink ref="F109" r:id="rId4" xr:uid="{9F268C4D-B525-422C-8BE3-07CC25CEFC15}"/>
    <hyperlink ref="F136" r:id="rId5" xr:uid="{5CF7AC9B-6B1C-454C-83FA-FE384576D09E}"/>
    <hyperlink ref="F135" r:id="rId6" xr:uid="{2A311F02-52FA-4DF7-8681-4FF2A5D2DE2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DF5E-6277-46B0-AF2C-B11ECFA4E62F}">
  <dimension ref="A1:O11"/>
  <sheetViews>
    <sheetView workbookViewId="0"/>
  </sheetViews>
  <sheetFormatPr defaultRowHeight="15"/>
  <cols>
    <col min="4" max="4" width="37" customWidth="1"/>
    <col min="5" max="5" width="35.85546875" customWidth="1"/>
    <col min="6" max="6" width="34.85546875" customWidth="1"/>
    <col min="7" max="7" width="34.28515625" customWidth="1"/>
  </cols>
  <sheetData>
    <row r="1" spans="1:15">
      <c r="D1" t="s">
        <v>813</v>
      </c>
      <c r="M1" t="s">
        <v>814</v>
      </c>
    </row>
    <row r="2" spans="1:15">
      <c r="M2" t="s">
        <v>815</v>
      </c>
    </row>
    <row r="3" spans="1:15">
      <c r="D3" t="s">
        <v>814</v>
      </c>
      <c r="E3" t="s">
        <v>816</v>
      </c>
      <c r="F3" t="s">
        <v>817</v>
      </c>
      <c r="G3" t="s">
        <v>818</v>
      </c>
    </row>
    <row r="4" spans="1:15">
      <c r="C4" t="s">
        <v>819</v>
      </c>
      <c r="D4" t="s">
        <v>820</v>
      </c>
      <c r="E4" t="s">
        <v>821</v>
      </c>
      <c r="F4" t="s">
        <v>821</v>
      </c>
      <c r="G4" t="s">
        <v>822</v>
      </c>
      <c r="M4" t="s">
        <v>823</v>
      </c>
      <c r="N4" t="s">
        <v>824</v>
      </c>
    </row>
    <row r="5" spans="1:15">
      <c r="C5" t="s">
        <v>825</v>
      </c>
      <c r="D5" t="s">
        <v>826</v>
      </c>
      <c r="E5" t="s">
        <v>827</v>
      </c>
      <c r="F5" t="s">
        <v>827</v>
      </c>
      <c r="G5" t="s">
        <v>828</v>
      </c>
      <c r="M5" s="51" t="s">
        <v>829</v>
      </c>
      <c r="N5" s="51" t="s">
        <v>830</v>
      </c>
    </row>
    <row r="6" spans="1:15">
      <c r="M6" t="s">
        <v>831</v>
      </c>
      <c r="N6" t="s">
        <v>832</v>
      </c>
    </row>
    <row r="10" spans="1:15">
      <c r="M10" t="s">
        <v>823</v>
      </c>
      <c r="N10" t="s">
        <v>833</v>
      </c>
    </row>
    <row r="11" spans="1:15">
      <c r="A11" s="52" t="s">
        <v>834</v>
      </c>
      <c r="M11" s="51" t="s">
        <v>829</v>
      </c>
      <c r="N11" s="51" t="s">
        <v>830</v>
      </c>
      <c r="O11" s="52" t="s">
        <v>835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D9AE288478C4787BD67177B4D53F7" ma:contentTypeVersion="14" ma:contentTypeDescription="Create a new document." ma:contentTypeScope="" ma:versionID="b99f8630e8c2cb7429d6ffdd2a508736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a3d171955dd0967d954fba1ee006df67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4A67E6-70DE-4260-AA56-21CAAD01BEC8}"/>
</file>

<file path=customXml/itemProps2.xml><?xml version="1.0" encoding="utf-8"?>
<ds:datastoreItem xmlns:ds="http://schemas.openxmlformats.org/officeDocument/2006/customXml" ds:itemID="{E1A69EB3-3ECD-464D-82AD-D784116AA207}"/>
</file>

<file path=customXml/itemProps3.xml><?xml version="1.0" encoding="utf-8"?>
<ds:datastoreItem xmlns:ds="http://schemas.openxmlformats.org/officeDocument/2006/customXml" ds:itemID="{18D5AC10-8D56-4825-B1FA-4041030951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2024-03-21T16:23:34Z</dcterms:created>
  <dcterms:modified xsi:type="dcterms:W3CDTF">2024-04-02T04:30:13Z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</Properties>
</file>