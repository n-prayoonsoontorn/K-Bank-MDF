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s.accenture.com/sites/KBank-MDF/Shared Documents/General/03 W2 Functional and Use Case/01 Data Ingestion/60 Ingestion Foundation/02 Design/01 Foundation CBR/Batch 1/Plan A/RDM/"/>
    </mc:Choice>
  </mc:AlternateContent>
  <xr:revisionPtr revIDLastSave="767" documentId="8_{05B7456F-860D-41F7-83B4-2FB4E3363004}" xr6:coauthVersionLast="47" xr6:coauthVersionMax="47" xr10:uidLastSave="{5A3AF2AB-EA07-4BF9-A004-8D619A5EB255}"/>
  <bookViews>
    <workbookView xWindow="28680" yWindow="-120" windowWidth="29040" windowHeight="15720" firstSheet="1" activeTab="1" xr2:uid="{ED39F80C-626A-43B2-BBFF-A12125924A98}"/>
  </bookViews>
  <sheets>
    <sheet name="Cover Sheet" sheetId="2" r:id="rId1"/>
    <sheet name="mdp_request_field" sheetId="6" r:id="rId2"/>
  </sheets>
  <externalReferences>
    <externalReference r:id="rId3"/>
  </externalReferences>
  <definedNames>
    <definedName name="_AMO_UniqueIdentifier" hidden="1">"'f5ca7c00-e8bf-427e-a513-0929a53a9816'"</definedName>
    <definedName name="_xlnm._FilterDatabase" localSheetId="1" hidden="1">mdp_request_field!$A$29:$AG$29</definedName>
    <definedName name="Cycle">[1]FixVar!$G$2:$G$8</definedName>
    <definedName name="LIST" localSheetId="1">#REF!</definedName>
    <definedName name="LIST">#REF!</definedName>
    <definedName name="STATUS1">[1]FixVar!$R$2:$R$5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Chiwitsophon, Chonnikan</author>
  </authors>
  <commentList>
    <comment ref="E6" authorId="0" shapeId="0" xr:uid="{5C283414-C742-4806-9426-D7CA0614166B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Sample 
H01|2023-10-31
D{}
T01|230</t>
        </r>
      </text>
    </comment>
    <comment ref="F7" authorId="0" shapeId="0" xr:uid="{2EF35663-F437-401D-B114-83A07A84FA83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file has label header flag Y = Yes, if not flag N = No</t>
        </r>
      </text>
    </comment>
    <comment ref="F8" authorId="0" shapeId="0" xr:uid="{D3E2F927-0C5D-485B-8CCE-82A6696927B7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Leave blank if no label header, if yes specify record format</t>
        </r>
      </text>
    </comment>
    <comment ref="L8" authorId="0" shapeId="0" xr:uid="{066D2FC5-48BE-485F-BB65-6D4D902CAD5B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ingt_&lt;src_sys&gt;_&lt;frequency&gt;
</t>
        </r>
      </text>
    </comment>
    <comment ref="F9" authorId="0" shapeId="0" xr:uid="{7C722A44-AA18-45DA-95BD-91778B13D7A9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Position of number of records</t>
        </r>
      </text>
    </comment>
    <comment ref="L9" authorId="0" shapeId="0" xr:uid="{D9DAFA27-F94B-4E40-8258-4A616D4F4CE2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Define as "INGT" for ingestion</t>
        </r>
      </text>
    </comment>
    <comment ref="F10" authorId="0" shapeId="0" xr:uid="{CCEDCA6A-5B13-4D63-9C27-2559FAC06783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file has label detail flag Y = Yes, if not flag N = No</t>
        </r>
      </text>
    </comment>
    <comment ref="L10" authorId="0" shapeId="0" xr:uid="{79330418-9551-49F9-9B1B-824D9F7A1A5E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Check dependency flag (A flag that tells whether the run will check dependency or not) Y = Check, N = Skip (Not Check)</t>
        </r>
      </text>
    </comment>
    <comment ref="F11" authorId="0" shapeId="0" xr:uid="{F4B396AE-152A-401C-9135-445A15676277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Leave blank if no label detail, if yes specify record format</t>
        </r>
      </text>
    </comment>
    <comment ref="L11" authorId="0" shapeId="0" xr:uid="{BC0DE52D-963C-4452-B8FB-B0025696034E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yes for check dependency, specify running sequence</t>
        </r>
      </text>
    </comment>
    <comment ref="B12" authorId="0" shapeId="0" xr:uid="{EF1AF863-2988-4609-87F7-F82FBC073382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Daily, Monthly</t>
        </r>
      </text>
    </comment>
    <comment ref="F12" authorId="0" shapeId="0" xr:uid="{F643BC68-19FD-410E-B063-674351F368FA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file has label tailor flag Y = Yes, if not flag N = No</t>
        </r>
      </text>
    </comment>
    <comment ref="F13" authorId="0" shapeId="0" xr:uid="{D3816603-FCE2-45AA-AE84-E7A4000B6E09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Leave blank if no label tailor, if yes specify record format</t>
        </r>
      </text>
    </comment>
    <comment ref="F14" authorId="0" shapeId="0" xr:uid="{88C0924D-28AB-4989-BFCA-FCDAF216DA31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Position of number of records</t>
        </r>
      </text>
    </comment>
    <comment ref="B19" authorId="0" shapeId="0" xr:uid="{B55F7296-5471-42D6-8745-C134CB02F693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flag whether to skip load on holiday or not</t>
        </r>
      </text>
    </comment>
    <comment ref="C21" authorId="0" shapeId="0" xr:uid="{537CF8DC-7357-471F-8D73-FEC6E832F6E1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Y = Data extract with Header
N = Data without Header</t>
        </r>
      </text>
    </comment>
    <comment ref="C22" authorId="0" shapeId="0" xr:uid="{8CB97A27-3CBD-4F1B-80C8-B8E084AE4F11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if Data extract with Header, specify number of column and if no header keep blank</t>
        </r>
      </text>
    </comment>
    <comment ref="B29" authorId="0" shapeId="0" xr:uid="{B22B8085-702A-43DB-AEBB-699F447A1AD2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The Squence Number of the field of view table</t>
        </r>
      </text>
    </comment>
    <comment ref="F29" authorId="0" shapeId="0" xr:uid="{367B99E0-D464-418F-9FE3-AD78A5E9FE6C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M(PK) = Key Field
M = Mandatory/Not Null
O = Not Mandatory/Nullable</t>
        </r>
      </text>
    </comment>
    <comment ref="G29" authorId="0" shapeId="0" xr:uid="{8A4ADAD7-9486-47DD-920F-71B460755837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- STRING
- INTEGER
- DECIMAL
- DATE
- TIMESTAMP</t>
        </r>
      </text>
    </comment>
    <comment ref="I29" authorId="0" shapeId="0" xr:uid="{566F9F76-5529-4A88-89B0-F5D240F1F352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flag if the field storing sensitive/private/confidential data
Value: Y/N</t>
        </r>
      </text>
    </comment>
    <comment ref="N29" authorId="0" shapeId="0" xr:uid="{B0097DD1-D971-4010-BC96-2048E9DD4F2D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M(PK) = Key Field
M = Mandatory/Not Null
O = Not Mandatory/Nullable</t>
        </r>
      </text>
    </comment>
    <comment ref="O29" authorId="0" shapeId="0" xr:uid="{342DFE9B-C2CC-485A-990C-E76F548833E2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- STRING
- INTEGER
- DECIMAL
- DATE
- TIMESTAMP
</t>
        </r>
      </text>
    </comment>
    <comment ref="Q29" authorId="0" shapeId="0" xr:uid="{4A611FDD-7D34-4BD0-ADAF-2A01F2F1A89B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flag if the field storing PII data/
sensitive/private/confidential data
Value: Y/N</t>
        </r>
      </text>
    </comment>
    <comment ref="T29" authorId="0" shapeId="0" xr:uid="{31AC33F6-01D7-422E-8B12-F14491659058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To provide the field definition or information that the field stores</t>
        </r>
      </text>
    </comment>
    <comment ref="Y29" authorId="0" shapeId="0" xr:uid="{41BEB96A-FF00-4635-A386-7D3AA4D2549B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M(PK) = Key Field
M = Mandatory/Not Null
O = Not Mandatory/Nullable</t>
        </r>
      </text>
    </comment>
    <comment ref="Z29" authorId="0" shapeId="0" xr:uid="{B9837D90-A494-48A7-A8D1-09B8CF9093D6}">
      <text>
        <r>
          <rPr>
            <b/>
            <sz val="9"/>
            <color indexed="81"/>
            <rFont val="Tahoma"/>
            <family val="2"/>
          </rPr>
          <t>Chiwitsophon, Chonnikan:</t>
        </r>
        <r>
          <rPr>
            <sz val="9"/>
            <color indexed="81"/>
            <rFont val="Tahoma"/>
            <family val="2"/>
          </rPr>
          <t xml:space="preserve">
- STRING
- INTEGER
- DECIMAL
- DATE
- TIMESTAMP
</t>
        </r>
      </text>
    </comment>
  </commentList>
</comments>
</file>

<file path=xl/sharedStrings.xml><?xml version="1.0" encoding="utf-8"?>
<sst xmlns="http://schemas.openxmlformats.org/spreadsheetml/2006/main" count="355" uniqueCount="205">
  <si>
    <t>CBR Specification - rdm_ccy_cd</t>
  </si>
  <si>
    <t>MDP - Ingestion</t>
  </si>
  <si>
    <t>General Information</t>
  </si>
  <si>
    <t>Company</t>
  </si>
  <si>
    <t>KBANK</t>
  </si>
  <si>
    <t>Contact</t>
  </si>
  <si>
    <t>Project Information</t>
  </si>
  <si>
    <t>Project Summary</t>
  </si>
  <si>
    <t>Document</t>
  </si>
  <si>
    <t>Document Owner</t>
  </si>
  <si>
    <t>Accenture</t>
  </si>
  <si>
    <t>Revision History</t>
  </si>
  <si>
    <t>Document Version</t>
  </si>
  <si>
    <t>Author(s)</t>
  </si>
  <si>
    <t>Change Reference</t>
  </si>
  <si>
    <t>Date</t>
  </si>
  <si>
    <t>v00_00_00</t>
  </si>
  <si>
    <t>Chonnikan C.</t>
  </si>
  <si>
    <t>Initial template</t>
  </si>
  <si>
    <t>v01_00_00</t>
  </si>
  <si>
    <t>Tanatchporn S.</t>
  </si>
  <si>
    <t>Update CBR Foundation</t>
  </si>
  <si>
    <t>Kbank - MDP Project</t>
  </si>
  <si>
    <t>Source System Name</t>
  </si>
  <si>
    <t>Ingestion Type</t>
  </si>
  <si>
    <t>Ingestion Method</t>
  </si>
  <si>
    <t>System Type</t>
  </si>
  <si>
    <t xml:space="preserve">Protocol </t>
  </si>
  <si>
    <t>RDM</t>
  </si>
  <si>
    <t>Batch</t>
  </si>
  <si>
    <t>Fulldump</t>
  </si>
  <si>
    <t>NON-MAINFRAME</t>
  </si>
  <si>
    <t>Control-M</t>
  </si>
  <si>
    <t>* Mandatory Information</t>
  </si>
  <si>
    <t>Label Format</t>
  </si>
  <si>
    <t>Table Information</t>
  </si>
  <si>
    <t>Config</t>
  </si>
  <si>
    <t>Extraction Information</t>
  </si>
  <si>
    <r>
      <t>Source File Name/ File Path</t>
    </r>
    <r>
      <rPr>
        <b/>
        <sz val="11"/>
        <color rgb="FFC00000"/>
        <rFont val="Calibri"/>
        <family val="2"/>
        <scheme val="minor"/>
      </rPr>
      <t>*</t>
    </r>
  </si>
  <si>
    <t>rdm_ccy_cd_YYYYMMDD.txt</t>
  </si>
  <si>
    <t>Label Header Flag</t>
  </si>
  <si>
    <t>N</t>
  </si>
  <si>
    <t>Target Catalog Name</t>
  </si>
  <si>
    <t>mdp{{env}}</t>
  </si>
  <si>
    <t>Job Name</t>
  </si>
  <si>
    <t>ingest_rdm_ccy_cd_d</t>
  </si>
  <si>
    <r>
      <t>Extraction Cases</t>
    </r>
    <r>
      <rPr>
        <b/>
        <sz val="11"/>
        <color rgb="FFC00000"/>
        <rFont val="Calibri"/>
        <scheme val="minor"/>
      </rPr>
      <t>*</t>
    </r>
  </si>
  <si>
    <t>Extraction Push File</t>
  </si>
  <si>
    <t>File Description</t>
  </si>
  <si>
    <t>Currency Code and Description stored in DIH-RDM updated by User from Payment Product and E-Channel Development Support, and Digital Business Channel Management Department</t>
  </si>
  <si>
    <t>Label Header Record Type</t>
  </si>
  <si>
    <t>View Name</t>
  </si>
  <si>
    <t>v_rdm_ccy_cd</t>
  </si>
  <si>
    <t>Area Name</t>
  </si>
  <si>
    <t>ingt_rdm_d</t>
  </si>
  <si>
    <r>
      <t>Source File Name/ File Path</t>
    </r>
    <r>
      <rPr>
        <b/>
        <sz val="11"/>
        <color rgb="FFC00000"/>
        <rFont val="Calibri"/>
        <scheme val="minor"/>
      </rPr>
      <t>*</t>
    </r>
  </si>
  <si>
    <t>Source Date Format</t>
  </si>
  <si>
    <t>Header Total Records Position</t>
  </si>
  <si>
    <t>View Schema</t>
  </si>
  <si>
    <t>persist_rdm_view</t>
  </si>
  <si>
    <t>Job Type</t>
  </si>
  <si>
    <t>INGT</t>
  </si>
  <si>
    <r>
      <t>Data Frequency</t>
    </r>
    <r>
      <rPr>
        <b/>
        <sz val="11"/>
        <color rgb="FFC00000"/>
        <rFont val="Calibri"/>
        <scheme val="minor"/>
      </rPr>
      <t>*</t>
    </r>
  </si>
  <si>
    <t>Daily</t>
  </si>
  <si>
    <r>
      <t>Control File Flag</t>
    </r>
    <r>
      <rPr>
        <b/>
        <sz val="11"/>
        <color rgb="FFC00000"/>
        <rFont val="Calibri"/>
        <family val="2"/>
        <scheme val="minor"/>
      </rPr>
      <t>*</t>
    </r>
  </si>
  <si>
    <t>Y</t>
  </si>
  <si>
    <t>Label Detail Flag</t>
  </si>
  <si>
    <t>Target Schema Name</t>
  </si>
  <si>
    <t>persist_rdm</t>
  </si>
  <si>
    <t>Dependency Flag (optional)</t>
  </si>
  <si>
    <r>
      <t>Control File Flag</t>
    </r>
    <r>
      <rPr>
        <b/>
        <sz val="11"/>
        <color rgb="FFC00000"/>
        <rFont val="Calibri"/>
        <scheme val="minor"/>
      </rPr>
      <t>*</t>
    </r>
  </si>
  <si>
    <r>
      <t>Control File Name</t>
    </r>
    <r>
      <rPr>
        <b/>
        <sz val="11"/>
        <color rgb="FFC00000"/>
        <rFont val="Calibri"/>
        <family val="2"/>
        <scheme val="minor"/>
      </rPr>
      <t>*</t>
    </r>
  </si>
  <si>
    <t>rdm_ccy_cd_YYYYMMDD.ctl</t>
  </si>
  <si>
    <t>Label Detail Record Type</t>
  </si>
  <si>
    <t>Target Table Name</t>
  </si>
  <si>
    <t>rdm_ccy_cd</t>
  </si>
  <si>
    <t>Job Running Seq (optional)</t>
  </si>
  <si>
    <t>Control File Name</t>
  </si>
  <si>
    <r>
      <t>Data Frequency</t>
    </r>
    <r>
      <rPr>
        <b/>
        <sz val="11"/>
        <color rgb="FFC00000"/>
        <rFont val="Calibri"/>
        <family val="2"/>
        <scheme val="minor"/>
      </rPr>
      <t>*</t>
    </r>
  </si>
  <si>
    <t>Label Tailor Flag</t>
  </si>
  <si>
    <t>Target Landing Location</t>
  </si>
  <si>
    <t>persist@stmdpsea{{env}}per001.dfs.core.windows.net</t>
  </si>
  <si>
    <r>
      <t>Source Directory</t>
    </r>
    <r>
      <rPr>
        <b/>
        <sz val="11"/>
        <color rgb="FFC00000"/>
        <rFont val="Calibri"/>
        <scheme val="minor"/>
      </rPr>
      <t>*</t>
    </r>
  </si>
  <si>
    <t>/datasource/inbound/source_file/mdp/rdm</t>
  </si>
  <si>
    <r>
      <t>File Extension</t>
    </r>
    <r>
      <rPr>
        <b/>
        <sz val="11"/>
        <color rgb="FFC00000"/>
        <rFont val="Calibri"/>
        <family val="2"/>
        <scheme val="minor"/>
      </rPr>
      <t>*</t>
    </r>
  </si>
  <si>
    <t>txt</t>
  </si>
  <si>
    <t>Label Tailor Record Type</t>
  </si>
  <si>
    <t>Source Schema Name</t>
  </si>
  <si>
    <r>
      <t>Target Location</t>
    </r>
    <r>
      <rPr>
        <b/>
        <sz val="11"/>
        <color rgb="FFC00000"/>
        <rFont val="Calibri"/>
        <scheme val="minor"/>
      </rPr>
      <t>*</t>
    </r>
  </si>
  <si>
    <t>inbound@stmdpsea{{env}}in001.dfs.core.windows.net</t>
  </si>
  <si>
    <r>
      <t>File Format</t>
    </r>
    <r>
      <rPr>
        <b/>
        <sz val="11"/>
        <color rgb="FFC00000"/>
        <rFont val="Calibri"/>
        <family val="2"/>
        <scheme val="minor"/>
      </rPr>
      <t>*</t>
    </r>
  </si>
  <si>
    <t>D = Delimited</t>
  </si>
  <si>
    <t>Tailor Total Records Position</t>
  </si>
  <si>
    <t>Source Table Name</t>
  </si>
  <si>
    <r>
      <t>Target Directory</t>
    </r>
    <r>
      <rPr>
        <b/>
        <sz val="11"/>
        <color rgb="FFC00000"/>
        <rFont val="Calibri"/>
        <scheme val="minor"/>
      </rPr>
      <t>*</t>
    </r>
  </si>
  <si>
    <t>/source_file/mdp/rdm/</t>
  </si>
  <si>
    <r>
      <t>File Delimiter</t>
    </r>
    <r>
      <rPr>
        <b/>
        <sz val="11"/>
        <color rgb="FFC00000"/>
        <rFont val="Calibri"/>
        <family val="2"/>
        <scheme val="minor"/>
      </rPr>
      <t>*</t>
    </r>
  </si>
  <si>
    <t>| = Pipe</t>
  </si>
  <si>
    <t>Source Landing Location</t>
  </si>
  <si>
    <r>
      <t>File Encode</t>
    </r>
    <r>
      <rPr>
        <b/>
        <sz val="11"/>
        <color rgb="FFC00000"/>
        <rFont val="Calibri"/>
        <family val="2"/>
        <scheme val="minor"/>
      </rPr>
      <t>*</t>
    </r>
  </si>
  <si>
    <t>UTF-8</t>
  </si>
  <si>
    <t>Extraction Config</t>
  </si>
  <si>
    <r>
      <t>File Quotation Flag</t>
    </r>
    <r>
      <rPr>
        <b/>
        <sz val="11"/>
        <color rgb="FFC00000"/>
        <rFont val="Calibri"/>
        <family val="2"/>
        <scheme val="minor"/>
      </rPr>
      <t>*</t>
    </r>
  </si>
  <si>
    <t>Y = Double quote(") contains between column</t>
  </si>
  <si>
    <t>extrct_rdm_ccy_cd_d</t>
  </si>
  <si>
    <t>Delivered Time</t>
  </si>
  <si>
    <t>Subject Area Name</t>
  </si>
  <si>
    <t>rdm</t>
  </si>
  <si>
    <t>Skip Holiday Flag</t>
  </si>
  <si>
    <t>N = Not skip load (Everyday load)</t>
  </si>
  <si>
    <t>Partition Key</t>
  </si>
  <si>
    <t>ptn_yyyy,ptn_mm,ptn_dd</t>
  </si>
  <si>
    <r>
      <t>Column Name Flag</t>
    </r>
    <r>
      <rPr>
        <b/>
        <sz val="11"/>
        <color rgb="FFC00000"/>
        <rFont val="Calibri"/>
        <family val="2"/>
        <scheme val="minor"/>
      </rPr>
      <t>*</t>
    </r>
  </si>
  <si>
    <t>Number of Column Name</t>
  </si>
  <si>
    <t>View</t>
  </si>
  <si>
    <t>Target Table</t>
  </si>
  <si>
    <t>Source</t>
  </si>
  <si>
    <t>Masking Requirement</t>
  </si>
  <si>
    <t>V Seq.</t>
  </si>
  <si>
    <t>Column Name</t>
  </si>
  <si>
    <t>Description</t>
  </si>
  <si>
    <t>Mandatory</t>
  </si>
  <si>
    <t>Data Type</t>
  </si>
  <si>
    <t>Data Size</t>
  </si>
  <si>
    <t>Confidential Data</t>
  </si>
  <si>
    <t>Transformation Rules</t>
  </si>
  <si>
    <t>T Seq.</t>
  </si>
  <si>
    <t>Table Name</t>
  </si>
  <si>
    <t>RBAC Data Element</t>
  </si>
  <si>
    <t>Rename Column From</t>
  </si>
  <si>
    <t>P Seq.</t>
  </si>
  <si>
    <t>Table Name/File Name</t>
  </si>
  <si>
    <t>Offset</t>
  </si>
  <si>
    <t>Date format</t>
  </si>
  <si>
    <t>Time zone</t>
  </si>
  <si>
    <t>Content Category</t>
  </si>
  <si>
    <t>Remark</t>
  </si>
  <si>
    <t>pos_dt</t>
  </si>
  <si>
    <t>M</t>
  </si>
  <si>
    <t>date</t>
  </si>
  <si>
    <t>Derived Business date value From Control-M</t>
  </si>
  <si>
    <t>Def(En): Position Date
Def(Th): วันที่ของข้อมูล</t>
  </si>
  <si>
    <t>N/A</t>
  </si>
  <si>
    <t>Thai Currency Description</t>
  </si>
  <si>
    <t>name</t>
  </si>
  <si>
    <t>O</t>
  </si>
  <si>
    <t>string</t>
  </si>
  <si>
    <t>Right Trim and Direct Move</t>
  </si>
  <si>
    <t xml:space="preserve">Def(En):Currency Description (TH)
Def(Th):ชื่อเต็มสกุลเงินภาษาไทย
</t>
  </si>
  <si>
    <t>varchar</t>
  </si>
  <si>
    <t>Currency Code</t>
  </si>
  <si>
    <t>code</t>
  </si>
  <si>
    <t>M(PK)</t>
  </si>
  <si>
    <t>Def(En):Currency Code
Def(Th):รหัสสกุลเงิน</t>
  </si>
  <si>
    <t>English Currency Description</t>
  </si>
  <si>
    <t>ccy_dsc_en_std</t>
  </si>
  <si>
    <t xml:space="preserve">Def(En):Currency Description (EN)
Def(Th):ชื่อเต็มสกุลเงินภาษาอังกฤษ
</t>
  </si>
  <si>
    <t>Currency Abbreviation</t>
  </si>
  <si>
    <t>ccy_abr_en_std</t>
  </si>
  <si>
    <t>Def(En):Currency Abbreviation
Def(Th):ตัวย่อสกุลเงิน</t>
  </si>
  <si>
    <t>Standard Currency Code</t>
  </si>
  <si>
    <t>ccy_cd_std</t>
  </si>
  <si>
    <t>decimal</t>
  </si>
  <si>
    <t>38,0</t>
  </si>
  <si>
    <t>Direct Move</t>
  </si>
  <si>
    <t>Number of Decimal</t>
  </si>
  <si>
    <t>nbr_dcm_std</t>
  </si>
  <si>
    <t>Def(En):Number of Decimal
Def(Th):ตำแหน่งทศนิยม</t>
  </si>
  <si>
    <t>Active Flag Description</t>
  </si>
  <si>
    <t>actv_f_name</t>
  </si>
  <si>
    <t>Def(En):Active Flag
Def(Th):คำอธิบายรหัสบ่งชี้สถานะ</t>
  </si>
  <si>
    <t>Active Flag</t>
  </si>
  <si>
    <t>actv_f_std</t>
  </si>
  <si>
    <t>Def(En):Active Flag
Def(Th):รหัสบ่งชี้สถานะ</t>
  </si>
  <si>
    <t>Enter Date Time</t>
  </si>
  <si>
    <t>enterdatetime</t>
  </si>
  <si>
    <t>timestamp</t>
  </si>
  <si>
    <t>Cast enterdatetime as 'yyyy-MM-dd HH:mm:ss.SSSSSS'</t>
  </si>
  <si>
    <t>Def(En)Enter Date time
Def(Th):วันที่ใส่ข้อมูล</t>
  </si>
  <si>
    <t>yyyy-MM-dd HH:mm:ss.SSSSSS</t>
  </si>
  <si>
    <t>Enter User Identification</t>
  </si>
  <si>
    <t>enterusername</t>
  </si>
  <si>
    <t>Def(En):Enter User Name
Def(Th):ผู้ใส่ข้อมูล</t>
  </si>
  <si>
    <t>Update Date</t>
  </si>
  <si>
    <t>lastchgdatetime</t>
  </si>
  <si>
    <t>Cast lastchgdatetime as 'yyyy-MM-dd HH:mm:ss.SSSSSS'</t>
  </si>
  <si>
    <t>Def(En):Update Date
Def(Th):วันที่อัพเดทข้อมูล</t>
  </si>
  <si>
    <t>Update User Identification</t>
  </si>
  <si>
    <t>lastchgusername</t>
  </si>
  <si>
    <t>Def(En):Update User Name
Def(Th):ผู้อัพเดทข้อมูล</t>
  </si>
  <si>
    <t>load_tms</t>
  </si>
  <si>
    <t>Current Timestamp ('yyyy-MM-dd HH:mm:ss.SSSSSS')</t>
  </si>
  <si>
    <t>Def(En): The timestamp on which the instance of the entity was last updated.
Def(Th): วันที่ที่ระบบได้รับข้อมูลล่าสุด</t>
  </si>
  <si>
    <t>src_sys_id</t>
  </si>
  <si>
    <t>Set to '655'</t>
  </si>
  <si>
    <t>Def(En): Source system ID
Def(Th):เลขที่แสดงระบบงาน</t>
  </si>
  <si>
    <t>ptn_yyyy</t>
  </si>
  <si>
    <t>Cast pos_dt as string ('YYYY')​</t>
  </si>
  <si>
    <t>Def(En): Partition Year (YYYY)
Def(Th): พาทิชั่นฟิลด์แบ่งข้อมูลระดับปี</t>
  </si>
  <si>
    <t>ptn_mm</t>
  </si>
  <si>
    <t>Cast pos_dt as string ('MM')​</t>
  </si>
  <si>
    <t>Def(En): Partition Month (MM)
Def(Th): พาทิชั่นฟิลด์แบ่งข้อมูลระดับเดือน</t>
  </si>
  <si>
    <t>ptn_dd</t>
  </si>
  <si>
    <t>Cast pos_dt as string ('DD')​</t>
  </si>
  <si>
    <t>Def(En): Partition Date (DD)
Def(Th): พาทิชั่นฟิลด์แบ่งข้อมูลระดับวัน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</si>
</sst>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Calibri Light"/>
      <family val="2"/>
      <scheme val="major"/>
    </font>
    <font>
      <i/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FF99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1"/>
      <color rgb="FFC00000"/>
      <name val="Calibri"/>
      <scheme val="minor"/>
    </font>
    <font>
      <sz val="11"/>
      <name val="Calibri"/>
      <scheme val="minor"/>
    </font>
    <font>
      <sz val="11"/>
      <name val="Calibri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2">
    <xf numFmtId="0" fontId="0" fillId="0" borderId="0"/>
    <xf numFmtId="0" fontId="13" fillId="0" borderId="0"/>
  </cellStyleXfs>
  <cellXfs count="12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center" vertical="top"/>
    </xf>
    <xf numFmtId="0" fontId="5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7" borderId="3" xfId="0" applyFont="1" applyFill="1" applyBorder="1" applyAlignment="1">
      <alignment vertical="top"/>
    </xf>
    <xf numFmtId="0" fontId="2" fillId="7" borderId="2" xfId="0" applyFont="1" applyFill="1" applyBorder="1" applyAlignment="1">
      <alignment vertical="top"/>
    </xf>
    <xf numFmtId="0" fontId="2" fillId="7" borderId="4" xfId="0" applyFont="1" applyFill="1" applyBorder="1" applyAlignment="1">
      <alignment vertical="top"/>
    </xf>
    <xf numFmtId="0" fontId="7" fillId="0" borderId="0" xfId="0" applyFont="1" applyAlignment="1">
      <alignment vertical="top"/>
    </xf>
    <xf numFmtId="0" fontId="0" fillId="6" borderId="2" xfId="0" applyFill="1" applyBorder="1" applyAlignment="1">
      <alignment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4" borderId="2" xfId="0" applyFont="1" applyFill="1" applyBorder="1" applyAlignment="1">
      <alignment vertical="top"/>
    </xf>
    <xf numFmtId="0" fontId="10" fillId="0" borderId="0" xfId="0" applyFont="1" applyAlignment="1">
      <alignment vertical="top"/>
    </xf>
    <xf numFmtId="0" fontId="13" fillId="0" borderId="0" xfId="1"/>
    <xf numFmtId="0" fontId="17" fillId="9" borderId="0" xfId="1" applyFont="1" applyFill="1" applyAlignment="1">
      <alignment vertical="top"/>
    </xf>
    <xf numFmtId="0" fontId="7" fillId="10" borderId="8" xfId="1" applyFont="1" applyFill="1" applyBorder="1" applyAlignment="1">
      <alignment vertical="top"/>
    </xf>
    <xf numFmtId="0" fontId="7" fillId="10" borderId="12" xfId="1" applyFont="1" applyFill="1" applyBorder="1" applyAlignment="1">
      <alignment vertical="top"/>
    </xf>
    <xf numFmtId="0" fontId="7" fillId="11" borderId="15" xfId="1" applyFont="1" applyFill="1" applyBorder="1" applyAlignment="1">
      <alignment vertical="top"/>
    </xf>
    <xf numFmtId="0" fontId="7" fillId="11" borderId="16" xfId="1" applyFont="1" applyFill="1" applyBorder="1" applyAlignment="1">
      <alignment vertical="top"/>
    </xf>
    <xf numFmtId="0" fontId="7" fillId="11" borderId="17" xfId="1" applyFont="1" applyFill="1" applyBorder="1" applyAlignment="1">
      <alignment vertical="top"/>
    </xf>
    <xf numFmtId="0" fontId="13" fillId="0" borderId="0" xfId="1" applyAlignment="1">
      <alignment vertical="top"/>
    </xf>
    <xf numFmtId="0" fontId="7" fillId="10" borderId="2" xfId="1" applyFont="1" applyFill="1" applyBorder="1" applyAlignment="1">
      <alignment horizontal="center" vertical="top"/>
    </xf>
    <xf numFmtId="49" fontId="17" fillId="9" borderId="2" xfId="1" applyNumberFormat="1" applyFont="1" applyFill="1" applyBorder="1" applyAlignment="1">
      <alignment horizontal="center" vertical="top"/>
    </xf>
    <xf numFmtId="0" fontId="17" fillId="9" borderId="2" xfId="1" applyFont="1" applyFill="1" applyBorder="1" applyAlignment="1">
      <alignment horizontal="center" vertical="top"/>
    </xf>
    <xf numFmtId="15" fontId="13" fillId="6" borderId="2" xfId="1" applyNumberFormat="1" applyFill="1" applyBorder="1" applyAlignment="1">
      <alignment horizontal="center" vertical="top"/>
    </xf>
    <xf numFmtId="0" fontId="13" fillId="0" borderId="2" xfId="1" applyBorder="1" applyAlignment="1">
      <alignment horizontal="center" vertical="top" wrapText="1"/>
    </xf>
    <xf numFmtId="15" fontId="13" fillId="0" borderId="2" xfId="1" applyNumberFormat="1" applyBorder="1" applyAlignment="1">
      <alignment horizontal="center" vertical="top"/>
    </xf>
    <xf numFmtId="15" fontId="13" fillId="0" borderId="4" xfId="1" applyNumberFormat="1" applyBorder="1" applyAlignment="1">
      <alignment horizontal="center" vertical="top"/>
    </xf>
    <xf numFmtId="0" fontId="0" fillId="6" borderId="0" xfId="0" applyFill="1" applyAlignment="1">
      <alignment vertical="top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13" fillId="0" borderId="21" xfId="1" applyBorder="1" applyAlignment="1">
      <alignment horizontal="center" vertical="top" wrapText="1"/>
    </xf>
    <xf numFmtId="0" fontId="2" fillId="7" borderId="21" xfId="0" applyFont="1" applyFill="1" applyBorder="1" applyAlignment="1">
      <alignment vertical="top"/>
    </xf>
    <xf numFmtId="0" fontId="17" fillId="0" borderId="2" xfId="0" applyFont="1" applyBorder="1" applyAlignment="1">
      <alignment vertical="top"/>
    </xf>
    <xf numFmtId="0" fontId="17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1" fillId="0" borderId="2" xfId="0" applyFont="1" applyBorder="1" applyAlignment="1">
      <alignment vertical="top"/>
    </xf>
    <xf numFmtId="0" fontId="0" fillId="0" borderId="2" xfId="0" applyBorder="1"/>
    <xf numFmtId="0" fontId="22" fillId="0" borderId="0" xfId="0" applyFont="1" applyAlignment="1">
      <alignment vertical="top"/>
    </xf>
    <xf numFmtId="0" fontId="21" fillId="0" borderId="2" xfId="0" applyFont="1" applyBorder="1" applyAlignment="1">
      <alignment horizontal="left" vertical="top"/>
    </xf>
    <xf numFmtId="0" fontId="7" fillId="5" borderId="2" xfId="0" applyFont="1" applyFill="1" applyBorder="1" applyAlignment="1">
      <alignment horizontal="center" vertical="top" wrapText="1"/>
    </xf>
    <xf numFmtId="0" fontId="0" fillId="6" borderId="20" xfId="0" applyFill="1" applyBorder="1" applyAlignment="1">
      <alignment vertical="top"/>
    </xf>
    <xf numFmtId="0" fontId="2" fillId="0" borderId="0" xfId="0" applyFont="1" applyAlignment="1">
      <alignment vertical="top" wrapText="1"/>
    </xf>
    <xf numFmtId="0" fontId="0" fillId="6" borderId="1" xfId="0" applyFill="1" applyBorder="1" applyAlignment="1">
      <alignment horizontal="left" vertical="top"/>
    </xf>
    <xf numFmtId="0" fontId="2" fillId="4" borderId="2" xfId="0" applyFont="1" applyFill="1" applyBorder="1" applyAlignment="1">
      <alignment vertical="top" wrapText="1"/>
    </xf>
    <xf numFmtId="0" fontId="21" fillId="0" borderId="1" xfId="0" applyFont="1" applyBorder="1" applyAlignment="1">
      <alignment vertical="top"/>
    </xf>
    <xf numFmtId="0" fontId="21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/>
    </xf>
    <xf numFmtId="0" fontId="0" fillId="6" borderId="2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25" fillId="0" borderId="0" xfId="0" applyFont="1" applyAlignment="1">
      <alignment vertical="top"/>
    </xf>
    <xf numFmtId="0" fontId="24" fillId="2" borderId="1" xfId="0" applyFont="1" applyFill="1" applyBorder="1" applyAlignment="1">
      <alignment vertical="top"/>
    </xf>
    <xf numFmtId="0" fontId="27" fillId="0" borderId="1" xfId="0" applyFont="1" applyBorder="1" applyAlignment="1">
      <alignment vertical="top" wrapText="1"/>
    </xf>
    <xf numFmtId="0" fontId="24" fillId="2" borderId="2" xfId="0" applyFont="1" applyFill="1" applyBorder="1" applyAlignment="1">
      <alignment vertical="top"/>
    </xf>
    <xf numFmtId="49" fontId="28" fillId="9" borderId="2" xfId="1" applyNumberFormat="1" applyFont="1" applyFill="1" applyBorder="1" applyAlignment="1">
      <alignment horizontal="center" vertical="top"/>
    </xf>
    <xf numFmtId="0" fontId="28" fillId="9" borderId="2" xfId="1" applyFont="1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21" xfId="0" applyBorder="1" applyAlignment="1">
      <alignment vertical="top"/>
    </xf>
    <xf numFmtId="0" fontId="7" fillId="4" borderId="19" xfId="0" applyFont="1" applyFill="1" applyBorder="1" applyAlignment="1">
      <alignment horizontal="center" vertical="top" wrapText="1"/>
    </xf>
    <xf numFmtId="0" fontId="7" fillId="4" borderId="4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7" fillId="3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/>
    </xf>
    <xf numFmtId="0" fontId="21" fillId="6" borderId="2" xfId="0" applyFont="1" applyFill="1" applyBorder="1" applyAlignment="1">
      <alignment vertical="top"/>
    </xf>
    <xf numFmtId="0" fontId="29" fillId="6" borderId="2" xfId="0" applyFont="1" applyFill="1" applyBorder="1" applyAlignment="1">
      <alignment vertical="top"/>
    </xf>
    <xf numFmtId="0" fontId="21" fillId="6" borderId="2" xfId="0" applyFont="1" applyFill="1" applyBorder="1" applyAlignment="1">
      <alignment vertical="top" wrapText="1"/>
    </xf>
    <xf numFmtId="0" fontId="29" fillId="6" borderId="1" xfId="0" applyFont="1" applyFill="1" applyBorder="1" applyAlignment="1">
      <alignment vertical="top"/>
    </xf>
    <xf numFmtId="0" fontId="29" fillId="6" borderId="1" xfId="0" applyFont="1" applyFill="1" applyBorder="1"/>
    <xf numFmtId="0" fontId="29" fillId="6" borderId="0" xfId="0" applyFont="1" applyFill="1" applyAlignment="1">
      <alignment vertical="top"/>
    </xf>
    <xf numFmtId="0" fontId="30" fillId="6" borderId="0" xfId="0" applyFont="1" applyFill="1" applyAlignment="1">
      <alignment vertical="top"/>
    </xf>
    <xf numFmtId="0" fontId="29" fillId="0" borderId="2" xfId="0" applyFont="1" applyBorder="1" applyAlignment="1">
      <alignment vertical="top"/>
    </xf>
    <xf numFmtId="0" fontId="7" fillId="4" borderId="21" xfId="0" applyFont="1" applyFill="1" applyBorder="1" applyAlignment="1">
      <alignment horizontal="center" vertical="top" wrapText="1"/>
    </xf>
    <xf numFmtId="0" fontId="7" fillId="10" borderId="2" xfId="1" applyFont="1" applyFill="1" applyBorder="1" applyAlignment="1">
      <alignment horizontal="center" vertical="top"/>
    </xf>
    <xf numFmtId="0" fontId="15" fillId="8" borderId="0" xfId="1" applyFont="1" applyFill="1" applyAlignment="1">
      <alignment horizontal="center" vertical="top" wrapText="1"/>
    </xf>
    <xf numFmtId="0" fontId="16" fillId="8" borderId="0" xfId="1" applyFont="1" applyFill="1" applyAlignment="1">
      <alignment horizontal="center" vertical="top"/>
    </xf>
    <xf numFmtId="0" fontId="14" fillId="8" borderId="0" xfId="1" applyFont="1" applyFill="1" applyAlignment="1">
      <alignment horizontal="center" vertical="top"/>
    </xf>
    <xf numFmtId="0" fontId="18" fillId="8" borderId="5" xfId="1" applyFont="1" applyFill="1" applyBorder="1" applyAlignment="1">
      <alignment horizontal="center" vertical="top"/>
    </xf>
    <xf numFmtId="0" fontId="18" fillId="8" borderId="6" xfId="1" applyFont="1" applyFill="1" applyBorder="1" applyAlignment="1">
      <alignment horizontal="center" vertical="top"/>
    </xf>
    <xf numFmtId="0" fontId="18" fillId="8" borderId="7" xfId="1" applyFont="1" applyFill="1" applyBorder="1" applyAlignment="1">
      <alignment horizontal="center" vertical="top"/>
    </xf>
    <xf numFmtId="0" fontId="17" fillId="9" borderId="9" xfId="1" applyFont="1" applyFill="1" applyBorder="1" applyAlignment="1">
      <alignment horizontal="left" vertical="top" wrapText="1"/>
    </xf>
    <xf numFmtId="0" fontId="17" fillId="9" borderId="10" xfId="1" applyFont="1" applyFill="1" applyBorder="1" applyAlignment="1">
      <alignment horizontal="left" vertical="top" wrapText="1"/>
    </xf>
    <xf numFmtId="0" fontId="17" fillId="9" borderId="11" xfId="1" applyFont="1" applyFill="1" applyBorder="1" applyAlignment="1">
      <alignment horizontal="left" vertical="top" wrapText="1"/>
    </xf>
    <xf numFmtId="0" fontId="17" fillId="9" borderId="12" xfId="1" applyFont="1" applyFill="1" applyBorder="1" applyAlignment="1">
      <alignment horizontal="left" vertical="top" wrapText="1"/>
    </xf>
    <xf numFmtId="0" fontId="17" fillId="9" borderId="13" xfId="1" applyFont="1" applyFill="1" applyBorder="1" applyAlignment="1">
      <alignment horizontal="left" vertical="top" wrapText="1"/>
    </xf>
    <xf numFmtId="0" fontId="17" fillId="9" borderId="14" xfId="1" applyFont="1" applyFill="1" applyBorder="1" applyAlignment="1">
      <alignment horizontal="left" vertical="top" wrapText="1"/>
    </xf>
    <xf numFmtId="0" fontId="18" fillId="8" borderId="2" xfId="1" applyFont="1" applyFill="1" applyBorder="1" applyAlignment="1">
      <alignment horizontal="center" vertical="top"/>
    </xf>
    <xf numFmtId="0" fontId="13" fillId="0" borderId="19" xfId="1" applyBorder="1" applyAlignment="1">
      <alignment horizontal="left" vertical="top" wrapText="1"/>
    </xf>
    <xf numFmtId="0" fontId="13" fillId="0" borderId="20" xfId="1" applyBorder="1" applyAlignment="1">
      <alignment horizontal="left" vertical="top" wrapText="1"/>
    </xf>
    <xf numFmtId="0" fontId="13" fillId="0" borderId="21" xfId="1" applyBorder="1" applyAlignment="1">
      <alignment horizontal="left" vertical="top" wrapText="1"/>
    </xf>
    <xf numFmtId="0" fontId="13" fillId="0" borderId="18" xfId="1" applyBorder="1" applyAlignment="1">
      <alignment horizontal="left" vertical="top"/>
    </xf>
    <xf numFmtId="0" fontId="17" fillId="9" borderId="2" xfId="1" applyFont="1" applyFill="1" applyBorder="1" applyAlignment="1">
      <alignment horizontal="left" vertical="top" wrapText="1"/>
    </xf>
    <xf numFmtId="0" fontId="17" fillId="12" borderId="21" xfId="0" applyFont="1" applyFill="1" applyBorder="1" applyAlignment="1">
      <alignment horizontal="left" vertical="center" wrapText="1"/>
    </xf>
    <xf numFmtId="0" fontId="17" fillId="12" borderId="18" xfId="0" applyFont="1" applyFill="1" applyBorder="1" applyAlignment="1">
      <alignment horizontal="left" vertical="center" wrapText="1"/>
    </xf>
    <xf numFmtId="0" fontId="13" fillId="0" borderId="18" xfId="1" applyBorder="1" applyAlignment="1">
      <alignment horizontal="left" vertical="top" wrapText="1"/>
    </xf>
    <xf numFmtId="0" fontId="7" fillId="5" borderId="21" xfId="0" applyFont="1" applyFill="1" applyBorder="1" applyAlignment="1">
      <alignment horizontal="center" vertical="top" wrapText="1"/>
    </xf>
    <xf numFmtId="0" fontId="7" fillId="5" borderId="22" xfId="0" applyFont="1" applyFill="1" applyBorder="1" applyAlignment="1">
      <alignment horizontal="center" vertical="top" wrapText="1"/>
    </xf>
    <xf numFmtId="0" fontId="7" fillId="5" borderId="24" xfId="0" applyFont="1" applyFill="1" applyBorder="1" applyAlignment="1">
      <alignment horizontal="center" vertical="top" wrapText="1"/>
    </xf>
    <xf numFmtId="0" fontId="7" fillId="3" borderId="23" xfId="0" applyFont="1" applyFill="1" applyBorder="1" applyAlignment="1">
      <alignment horizontal="center" vertical="top" wrapText="1"/>
    </xf>
    <xf numFmtId="0" fontId="7" fillId="3" borderId="25" xfId="0" applyFont="1" applyFill="1" applyBorder="1" applyAlignment="1">
      <alignment horizontal="center" vertical="top" wrapText="1"/>
    </xf>
    <xf numFmtId="0" fontId="2" fillId="2" borderId="23" xfId="0" applyFont="1" applyFill="1" applyBorder="1" applyAlignment="1">
      <alignment horizontal="center" vertical="top"/>
    </xf>
    <xf numFmtId="0" fontId="2" fillId="2" borderId="25" xfId="0" applyFont="1" applyFill="1" applyBorder="1" applyAlignment="1">
      <alignment horizontal="center" vertical="top"/>
    </xf>
    <xf numFmtId="0" fontId="7" fillId="4" borderId="26" xfId="0" applyFont="1" applyFill="1" applyBorder="1" applyAlignment="1">
      <alignment horizontal="center" vertical="top" wrapText="1"/>
    </xf>
    <xf numFmtId="0" fontId="7" fillId="4" borderId="27" xfId="0" applyFont="1" applyFill="1" applyBorder="1" applyAlignment="1">
      <alignment horizontal="center" vertical="top" wrapText="1"/>
    </xf>
    <xf numFmtId="0" fontId="7" fillId="4" borderId="28" xfId="0" applyFont="1" applyFill="1" applyBorder="1" applyAlignment="1">
      <alignment horizontal="center" vertical="top" wrapText="1"/>
    </xf>
    <xf numFmtId="0" fontId="1" fillId="0" borderId="21" xfId="1" quotePrefix="1" applyFont="1" applyBorder="1" applyAlignment="1">
      <alignment horizontal="left" vertical="top" wrapText="1"/>
    </xf>
    <xf numFmtId="0" fontId="1" fillId="0" borderId="18" xfId="1" applyFont="1" applyBorder="1" applyAlignment="1">
      <alignment horizontal="left" vertical="top" wrapText="1"/>
    </xf>
    <xf numFmtId="15" fontId="1" fillId="6" borderId="2" xfId="1" applyNumberFormat="1" applyFont="1" applyFill="1" applyBorder="1" applyAlignment="1">
      <alignment horizontal="center" vertical="top"/>
    </xf>
    <xf numFmtId="0" fontId="1" fillId="0" borderId="0" xfId="0" applyFont="1" applyAlignment="1">
      <alignment vertical="top"/>
    </xf>
    <xf numFmtId="0" fontId="1" fillId="6" borderId="1" xfId="0" applyFont="1" applyFill="1" applyBorder="1" applyAlignment="1">
      <alignment vertical="top"/>
    </xf>
  </cellXfs>
  <cellStyles count="2">
    <cellStyle name="Normal" xfId="0" builtinId="0"/>
    <cellStyle name="Normal 2" xfId="1" xr:uid="{3CB1E581-6F9C-4E74-AF6D-08F232F4EA4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Desktop/Corrected_kbmf/KBMF%20between%20VDO%20and%20E%20channel_050811/K.%20Bank/Feedback/W4_Common_KBMF_Transfer_RQ_REVIEW_AM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Issue_List"/>
      <sheetName val="Instructions"/>
      <sheetName val="FixVar"/>
      <sheetName val="LOV"/>
      <sheetName val="picklistvalue"/>
      <sheetName val="Parameters"/>
      <sheetName val="Master"/>
      <sheetName val="Menu"/>
      <sheetName val="FI_group"/>
      <sheetName val="W4_Common_KBMF_Transfer_RQ_REVI"/>
      <sheetName val="MapIP"/>
      <sheetName val="Sheet3"/>
      <sheetName val="Paramete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2DAA-23AE-4830-87AE-8E70A46961C7}">
  <sheetPr>
    <tabColor theme="9" tint="0.79998168889431442"/>
  </sheetPr>
  <dimension ref="A1:E40"/>
  <sheetViews>
    <sheetView showGridLines="0" zoomScale="80" zoomScaleNormal="80" workbookViewId="0">
      <pane ySplit="15" topLeftCell="A16" activePane="bottomLeft" state="frozen"/>
      <selection pane="bottomLeft" activeCell="C18" sqref="C18:D18"/>
    </sheetView>
  </sheetViews>
  <sheetFormatPr defaultColWidth="8.5703125" defaultRowHeight="14.45"/>
  <cols>
    <col min="1" max="1" width="18.5703125" style="27" bestFit="1" customWidth="1"/>
    <col min="2" max="2" width="14.42578125" style="27" customWidth="1"/>
    <col min="3" max="3" width="43.42578125" style="27" customWidth="1"/>
    <col min="4" max="4" width="21.140625" style="27" customWidth="1"/>
    <col min="5" max="5" width="10.5703125" style="27" bestFit="1" customWidth="1"/>
    <col min="6" max="16384" width="8.5703125" style="20"/>
  </cols>
  <sheetData>
    <row r="1" spans="1:5" ht="23.25">
      <c r="A1" s="86" t="s">
        <v>0</v>
      </c>
      <c r="B1" s="86"/>
      <c r="C1" s="86"/>
      <c r="D1" s="86"/>
      <c r="E1" s="86"/>
    </row>
    <row r="2" spans="1:5" ht="23.45">
      <c r="A2" s="87" t="s">
        <v>1</v>
      </c>
      <c r="B2" s="87"/>
      <c r="C2" s="87"/>
      <c r="D2" s="87"/>
      <c r="E2" s="87"/>
    </row>
    <row r="3" spans="1:5">
      <c r="A3" s="88"/>
      <c r="B3" s="88"/>
      <c r="C3" s="88"/>
      <c r="D3" s="88"/>
      <c r="E3" s="88"/>
    </row>
    <row r="4" spans="1:5" ht="15" thickBot="1">
      <c r="A4" s="21"/>
      <c r="B4" s="21"/>
      <c r="C4" s="21"/>
      <c r="D4" s="21"/>
      <c r="E4" s="21"/>
    </row>
    <row r="5" spans="1:5" ht="15" thickBot="1">
      <c r="A5" s="89" t="s">
        <v>2</v>
      </c>
      <c r="B5" s="90"/>
      <c r="C5" s="90"/>
      <c r="D5" s="90"/>
      <c r="E5" s="91"/>
    </row>
    <row r="6" spans="1:5">
      <c r="A6" s="22" t="s">
        <v>3</v>
      </c>
      <c r="B6" s="92" t="s">
        <v>4</v>
      </c>
      <c r="C6" s="93"/>
      <c r="D6" s="93"/>
      <c r="E6" s="94"/>
    </row>
    <row r="7" spans="1:5" ht="15" thickBot="1">
      <c r="A7" s="23" t="s">
        <v>5</v>
      </c>
      <c r="B7" s="95"/>
      <c r="C7" s="96"/>
      <c r="D7" s="96"/>
      <c r="E7" s="97"/>
    </row>
    <row r="8" spans="1:5" ht="15" thickBot="1">
      <c r="A8" s="21"/>
      <c r="B8" s="21"/>
      <c r="C8" s="21"/>
      <c r="D8" s="21"/>
      <c r="E8" s="21"/>
    </row>
    <row r="9" spans="1:5" ht="15" thickBot="1">
      <c r="A9" s="89" t="s">
        <v>6</v>
      </c>
      <c r="B9" s="90"/>
      <c r="C9" s="90"/>
      <c r="D9" s="90"/>
      <c r="E9" s="91"/>
    </row>
    <row r="10" spans="1:5" ht="15" thickBot="1">
      <c r="A10" s="24" t="s">
        <v>7</v>
      </c>
      <c r="B10" s="95" t="s">
        <v>1</v>
      </c>
      <c r="C10" s="96"/>
      <c r="D10" s="96"/>
      <c r="E10" s="97"/>
    </row>
    <row r="11" spans="1:5" ht="15" thickBot="1">
      <c r="A11" s="25" t="s">
        <v>8</v>
      </c>
      <c r="B11" s="95" t="str">
        <f>A1</f>
        <v>CBR Specification - rdm_ccy_cd</v>
      </c>
      <c r="C11" s="96"/>
      <c r="D11" s="96"/>
      <c r="E11" s="97"/>
    </row>
    <row r="12" spans="1:5" ht="15" thickBot="1">
      <c r="A12" s="26" t="s">
        <v>9</v>
      </c>
      <c r="B12" s="95" t="s">
        <v>10</v>
      </c>
      <c r="C12" s="96"/>
      <c r="D12" s="96"/>
      <c r="E12" s="97"/>
    </row>
    <row r="13" spans="1:5">
      <c r="A13" s="21"/>
      <c r="B13" s="21"/>
      <c r="C13" s="21"/>
      <c r="D13" s="21"/>
    </row>
    <row r="14" spans="1:5">
      <c r="A14" s="98" t="s">
        <v>11</v>
      </c>
      <c r="B14" s="98"/>
      <c r="C14" s="98"/>
      <c r="D14" s="98"/>
      <c r="E14" s="98"/>
    </row>
    <row r="15" spans="1:5">
      <c r="A15" s="28" t="s">
        <v>12</v>
      </c>
      <c r="B15" s="28" t="s">
        <v>13</v>
      </c>
      <c r="C15" s="85" t="s">
        <v>14</v>
      </c>
      <c r="D15" s="85"/>
      <c r="E15" s="28" t="s">
        <v>15</v>
      </c>
    </row>
    <row r="16" spans="1:5">
      <c r="A16" s="29" t="s">
        <v>16</v>
      </c>
      <c r="B16" s="30" t="s">
        <v>17</v>
      </c>
      <c r="C16" s="103" t="s">
        <v>18</v>
      </c>
      <c r="D16" s="103"/>
      <c r="E16" s="31">
        <v>45272</v>
      </c>
    </row>
    <row r="17" spans="1:5" ht="14.45" customHeight="1">
      <c r="A17" s="29" t="s">
        <v>19</v>
      </c>
      <c r="B17" s="30" t="s">
        <v>20</v>
      </c>
      <c r="C17" s="104" t="s">
        <v>21</v>
      </c>
      <c r="D17" s="105"/>
      <c r="E17" s="31">
        <v>45414</v>
      </c>
    </row>
    <row r="18" spans="1:5" ht="14.45" customHeight="1">
      <c r="A18" s="29"/>
      <c r="B18" s="30"/>
      <c r="C18" s="103"/>
      <c r="D18" s="103"/>
      <c r="E18" s="31"/>
    </row>
    <row r="19" spans="1:5" ht="51.75" customHeight="1">
      <c r="A19" s="66"/>
      <c r="B19" s="67"/>
      <c r="C19" s="117"/>
      <c r="D19" s="118"/>
      <c r="E19" s="119"/>
    </row>
    <row r="20" spans="1:5" ht="15">
      <c r="A20" s="29"/>
      <c r="B20" s="32"/>
      <c r="C20" s="101"/>
      <c r="D20" s="106"/>
      <c r="E20" s="33"/>
    </row>
    <row r="21" spans="1:5">
      <c r="A21" s="29"/>
      <c r="B21" s="32"/>
      <c r="C21" s="101"/>
      <c r="D21" s="106"/>
      <c r="E21" s="33"/>
    </row>
    <row r="22" spans="1:5">
      <c r="A22" s="29"/>
      <c r="B22" s="32"/>
      <c r="C22" s="99"/>
      <c r="D22" s="100"/>
      <c r="E22" s="34"/>
    </row>
    <row r="23" spans="1:5">
      <c r="A23" s="29"/>
      <c r="B23" s="38"/>
      <c r="C23" s="101"/>
      <c r="D23" s="102"/>
      <c r="E23" s="33"/>
    </row>
    <row r="24" spans="1:5">
      <c r="A24" s="20"/>
      <c r="B24" s="20"/>
      <c r="C24" s="20"/>
      <c r="D24" s="20"/>
      <c r="E24" s="20"/>
    </row>
    <row r="25" spans="1:5">
      <c r="A25" s="20"/>
      <c r="B25" s="20"/>
      <c r="C25" s="20"/>
      <c r="D25" s="20"/>
      <c r="E25" s="20"/>
    </row>
    <row r="26" spans="1:5">
      <c r="A26" s="20"/>
      <c r="B26" s="20"/>
      <c r="C26" s="20"/>
      <c r="D26" s="20"/>
      <c r="E26" s="20"/>
    </row>
    <row r="27" spans="1:5">
      <c r="A27" s="20"/>
      <c r="B27" s="20"/>
      <c r="C27" s="20"/>
      <c r="D27" s="20"/>
      <c r="E27" s="20"/>
    </row>
    <row r="28" spans="1:5">
      <c r="A28" s="20"/>
      <c r="B28" s="20"/>
      <c r="C28" s="20"/>
      <c r="D28" s="20"/>
      <c r="E28" s="20"/>
    </row>
    <row r="29" spans="1:5">
      <c r="A29" s="20"/>
      <c r="B29" s="20"/>
      <c r="C29" s="20"/>
      <c r="D29" s="20"/>
      <c r="E29" s="20"/>
    </row>
    <row r="30" spans="1:5">
      <c r="A30" s="20"/>
      <c r="B30" s="20"/>
      <c r="C30" s="20"/>
      <c r="D30" s="20"/>
      <c r="E30" s="20"/>
    </row>
    <row r="31" spans="1:5">
      <c r="A31" s="20"/>
      <c r="B31" s="20"/>
      <c r="C31" s="20"/>
      <c r="D31" s="20"/>
      <c r="E31" s="20"/>
    </row>
    <row r="32" spans="1:5">
      <c r="A32" s="20"/>
      <c r="B32" s="20"/>
      <c r="C32" s="20"/>
      <c r="D32" s="20"/>
      <c r="E32" s="20"/>
    </row>
    <row r="33" s="20" customFormat="1"/>
    <row r="34" s="20" customFormat="1"/>
    <row r="35" s="20" customFormat="1"/>
    <row r="36" s="20" customFormat="1"/>
    <row r="37" s="20" customFormat="1"/>
    <row r="38" s="20" customFormat="1"/>
    <row r="39" s="20" customFormat="1"/>
    <row r="40" s="20" customFormat="1"/>
  </sheetData>
  <mergeCells count="20">
    <mergeCell ref="C22:D22"/>
    <mergeCell ref="C23:D23"/>
    <mergeCell ref="C16:D16"/>
    <mergeCell ref="C17:D17"/>
    <mergeCell ref="C18:D18"/>
    <mergeCell ref="C19:D19"/>
    <mergeCell ref="C20:D20"/>
    <mergeCell ref="C21:D21"/>
    <mergeCell ref="C15:D15"/>
    <mergeCell ref="A1:E1"/>
    <mergeCell ref="A2:E2"/>
    <mergeCell ref="A3:E3"/>
    <mergeCell ref="A5:E5"/>
    <mergeCell ref="B6:E6"/>
    <mergeCell ref="B7:E7"/>
    <mergeCell ref="A9:E9"/>
    <mergeCell ref="B10:E10"/>
    <mergeCell ref="B11:E11"/>
    <mergeCell ref="B12:E12"/>
    <mergeCell ref="A14:E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42FB2-C231-4E32-9805-712A1DD692CF}">
  <sheetPr>
    <tabColor theme="7" tint="0.79998168889431442"/>
  </sheetPr>
  <dimension ref="A1:AG47"/>
  <sheetViews>
    <sheetView showGridLines="0" tabSelected="1" topLeftCell="O22" zoomScale="80" zoomScaleNormal="80" workbookViewId="0">
      <selection activeCell="X31" sqref="X31"/>
    </sheetView>
  </sheetViews>
  <sheetFormatPr defaultColWidth="8.5703125" defaultRowHeight="15"/>
  <cols>
    <col min="1" max="1" width="6.85546875" style="1" customWidth="1"/>
    <col min="2" max="2" width="27.85546875" style="1" customWidth="1"/>
    <col min="3" max="3" width="57.42578125" style="1" customWidth="1"/>
    <col min="4" max="4" width="26.85546875" style="1" customWidth="1"/>
    <col min="5" max="5" width="45.140625" style="7" customWidth="1"/>
    <col min="6" max="6" width="16.42578125" style="1" customWidth="1"/>
    <col min="7" max="7" width="17.5703125" style="1" customWidth="1"/>
    <col min="8" max="8" width="22.42578125" style="1" customWidth="1"/>
    <col min="9" max="9" width="47.42578125" style="1" customWidth="1"/>
    <col min="10" max="10" width="46.42578125" style="1" customWidth="1"/>
    <col min="11" max="11" width="25" style="1" customWidth="1"/>
    <col min="12" max="12" width="21.42578125" style="1" customWidth="1"/>
    <col min="13" max="13" width="23.42578125" style="1" bestFit="1" customWidth="1"/>
    <col min="14" max="14" width="27.28515625" style="1" customWidth="1"/>
    <col min="15" max="15" width="50.140625" style="1" customWidth="1"/>
    <col min="16" max="16" width="11.42578125" style="1" customWidth="1"/>
    <col min="17" max="18" width="16" style="1" customWidth="1"/>
    <col min="19" max="19" width="45.85546875" style="1" customWidth="1"/>
    <col min="20" max="20" width="45.5703125" style="1" customWidth="1"/>
    <col min="21" max="21" width="24.42578125" style="1" customWidth="1"/>
    <col min="22" max="22" width="9.85546875" style="1" customWidth="1"/>
    <col min="23" max="23" width="28.7109375" style="1" bestFit="1" customWidth="1"/>
    <col min="24" max="24" width="22.42578125" style="1" bestFit="1" customWidth="1"/>
    <col min="25" max="25" width="12.42578125" style="1" customWidth="1"/>
    <col min="26" max="27" width="14.140625" style="1" customWidth="1"/>
    <col min="28" max="28" width="12.140625" style="1" customWidth="1"/>
    <col min="29" max="29" width="28.7109375" style="1" bestFit="1" customWidth="1"/>
    <col min="30" max="30" width="11.140625" style="1" customWidth="1"/>
    <col min="31" max="31" width="58.85546875" style="7" customWidth="1"/>
    <col min="32" max="32" width="19.85546875" style="1" customWidth="1"/>
    <col min="33" max="33" width="20.42578125" style="1" customWidth="1"/>
    <col min="34" max="34" width="21.85546875" style="1" customWidth="1"/>
    <col min="35" max="35" width="25.140625" style="1" customWidth="1"/>
    <col min="36" max="36" width="19.140625" style="1" customWidth="1"/>
    <col min="37" max="16384" width="8.5703125" style="1"/>
  </cols>
  <sheetData>
    <row r="1" spans="1:31" s="14" customFormat="1" ht="23.25">
      <c r="A1" s="19" t="s">
        <v>22</v>
      </c>
      <c r="E1" s="49"/>
      <c r="AE1" s="49"/>
    </row>
    <row r="2" spans="1:31" s="14" customFormat="1">
      <c r="D2" s="1"/>
      <c r="E2" s="7"/>
      <c r="F2" s="1"/>
      <c r="G2" s="1"/>
      <c r="AE2" s="49"/>
    </row>
    <row r="3" spans="1:31" s="14" customFormat="1">
      <c r="B3" s="18" t="s">
        <v>23</v>
      </c>
      <c r="C3" s="18" t="s">
        <v>24</v>
      </c>
      <c r="D3" s="18" t="s">
        <v>25</v>
      </c>
      <c r="E3" s="51" t="s">
        <v>26</v>
      </c>
      <c r="F3" s="18" t="s">
        <v>27</v>
      </c>
      <c r="AE3" s="49"/>
    </row>
    <row r="4" spans="1:31" s="14" customFormat="1">
      <c r="B4" s="40" t="s">
        <v>28</v>
      </c>
      <c r="C4" s="40" t="s">
        <v>29</v>
      </c>
      <c r="D4" s="42" t="s">
        <v>30</v>
      </c>
      <c r="E4" s="42" t="s">
        <v>31</v>
      </c>
      <c r="F4" s="41" t="s">
        <v>32</v>
      </c>
      <c r="AE4" s="49"/>
    </row>
    <row r="5" spans="1:31">
      <c r="G5" s="14"/>
    </row>
    <row r="6" spans="1:31" ht="16.5">
      <c r="B6" s="6" t="s">
        <v>33</v>
      </c>
      <c r="C6" s="16"/>
      <c r="D6" s="15"/>
      <c r="E6" s="55" t="s">
        <v>34</v>
      </c>
      <c r="H6" s="15" t="s">
        <v>35</v>
      </c>
      <c r="K6" s="15" t="s">
        <v>36</v>
      </c>
      <c r="L6" s="14"/>
      <c r="N6" s="62" t="s">
        <v>37</v>
      </c>
      <c r="O6" s="120"/>
    </row>
    <row r="7" spans="1:31">
      <c r="B7" s="9" t="s">
        <v>38</v>
      </c>
      <c r="C7" s="43" t="s">
        <v>39</v>
      </c>
      <c r="D7" s="2"/>
      <c r="E7" s="56" t="s">
        <v>40</v>
      </c>
      <c r="F7" s="3" t="s">
        <v>41</v>
      </c>
      <c r="G7" s="37"/>
      <c r="H7" s="17" t="s">
        <v>42</v>
      </c>
      <c r="I7" s="3" t="s">
        <v>43</v>
      </c>
      <c r="K7" s="17" t="s">
        <v>44</v>
      </c>
      <c r="L7" s="77" t="s">
        <v>45</v>
      </c>
      <c r="N7" s="63" t="s">
        <v>46</v>
      </c>
      <c r="O7" s="64" t="s">
        <v>47</v>
      </c>
    </row>
    <row r="8" spans="1:31" ht="45.75">
      <c r="B8" s="9" t="s">
        <v>48</v>
      </c>
      <c r="C8" s="42" t="s">
        <v>49</v>
      </c>
      <c r="E8" s="56" t="s">
        <v>50</v>
      </c>
      <c r="F8" s="3"/>
      <c r="G8" s="37"/>
      <c r="H8" s="17" t="s">
        <v>51</v>
      </c>
      <c r="I8" s="12" t="s">
        <v>52</v>
      </c>
      <c r="K8" s="17" t="s">
        <v>53</v>
      </c>
      <c r="L8" s="77" t="s">
        <v>54</v>
      </c>
      <c r="N8" s="63" t="s">
        <v>55</v>
      </c>
      <c r="O8" s="76" t="s">
        <v>39</v>
      </c>
    </row>
    <row r="9" spans="1:31">
      <c r="B9" s="9" t="s">
        <v>56</v>
      </c>
      <c r="C9" s="3"/>
      <c r="D9" s="2"/>
      <c r="E9" s="56" t="s">
        <v>57</v>
      </c>
      <c r="F9" s="3"/>
      <c r="G9" s="37"/>
      <c r="H9" s="17" t="s">
        <v>58</v>
      </c>
      <c r="I9" s="54" t="s">
        <v>59</v>
      </c>
      <c r="K9" s="17" t="s">
        <v>60</v>
      </c>
      <c r="L9" s="76" t="s">
        <v>61</v>
      </c>
      <c r="N9" s="63" t="s">
        <v>62</v>
      </c>
      <c r="O9" s="121" t="s">
        <v>63</v>
      </c>
    </row>
    <row r="10" spans="1:31">
      <c r="B10" s="9" t="s">
        <v>64</v>
      </c>
      <c r="C10" s="12" t="s">
        <v>65</v>
      </c>
      <c r="D10" s="13"/>
      <c r="E10" s="56" t="s">
        <v>66</v>
      </c>
      <c r="F10" s="40" t="s">
        <v>41</v>
      </c>
      <c r="G10" s="37"/>
      <c r="H10" s="17" t="s">
        <v>67</v>
      </c>
      <c r="I10" s="3" t="s">
        <v>68</v>
      </c>
      <c r="K10" s="17" t="s">
        <v>69</v>
      </c>
      <c r="L10" s="76" t="s">
        <v>41</v>
      </c>
      <c r="N10" s="63" t="s">
        <v>70</v>
      </c>
      <c r="O10" s="76" t="s">
        <v>65</v>
      </c>
    </row>
    <row r="11" spans="1:31">
      <c r="B11" s="9" t="s">
        <v>71</v>
      </c>
      <c r="C11" s="76" t="s">
        <v>72</v>
      </c>
      <c r="D11" s="13"/>
      <c r="E11" s="56" t="s">
        <v>73</v>
      </c>
      <c r="F11" s="40"/>
      <c r="G11" s="37"/>
      <c r="H11" s="17" t="s">
        <v>74</v>
      </c>
      <c r="I11" s="43" t="s">
        <v>75</v>
      </c>
      <c r="K11" s="17" t="s">
        <v>76</v>
      </c>
      <c r="L11" s="76"/>
      <c r="N11" s="63" t="s">
        <v>77</v>
      </c>
      <c r="O11" s="78" t="s">
        <v>72</v>
      </c>
    </row>
    <row r="12" spans="1:31">
      <c r="B12" s="9" t="s">
        <v>78</v>
      </c>
      <c r="C12" s="12" t="s">
        <v>63</v>
      </c>
      <c r="D12" s="58"/>
      <c r="E12" s="56" t="s">
        <v>79</v>
      </c>
      <c r="F12" s="3" t="s">
        <v>41</v>
      </c>
      <c r="G12" s="37"/>
      <c r="H12" s="17" t="s">
        <v>80</v>
      </c>
      <c r="I12" s="44" t="s">
        <v>81</v>
      </c>
      <c r="N12" s="63" t="s">
        <v>82</v>
      </c>
      <c r="O12" s="79" t="s">
        <v>83</v>
      </c>
    </row>
    <row r="13" spans="1:31">
      <c r="B13" s="9" t="s">
        <v>84</v>
      </c>
      <c r="C13" s="12" t="s">
        <v>85</v>
      </c>
      <c r="D13" s="2"/>
      <c r="E13" s="56" t="s">
        <v>86</v>
      </c>
      <c r="F13" s="3"/>
      <c r="G13" s="37"/>
      <c r="H13" s="17" t="s">
        <v>87</v>
      </c>
      <c r="I13" s="42"/>
      <c r="J13" s="2"/>
      <c r="N13" s="63" t="s">
        <v>88</v>
      </c>
      <c r="O13" s="80" t="s">
        <v>89</v>
      </c>
    </row>
    <row r="14" spans="1:31">
      <c r="B14" s="9" t="s">
        <v>90</v>
      </c>
      <c r="C14" s="12" t="s">
        <v>91</v>
      </c>
      <c r="D14" s="59"/>
      <c r="E14" s="56" t="s">
        <v>92</v>
      </c>
      <c r="F14" s="3"/>
      <c r="G14" s="37"/>
      <c r="H14" s="17" t="s">
        <v>93</v>
      </c>
      <c r="I14" s="43"/>
      <c r="N14" s="63" t="s">
        <v>94</v>
      </c>
      <c r="O14" s="79" t="s">
        <v>95</v>
      </c>
    </row>
    <row r="15" spans="1:31">
      <c r="B15" s="9" t="s">
        <v>96</v>
      </c>
      <c r="C15" s="12" t="s">
        <v>97</v>
      </c>
      <c r="D15" s="2"/>
      <c r="G15" s="37"/>
      <c r="H15" s="17" t="s">
        <v>98</v>
      </c>
      <c r="I15" s="44" t="s">
        <v>89</v>
      </c>
      <c r="N15" s="120"/>
      <c r="O15" s="81"/>
    </row>
    <row r="16" spans="1:31" ht="15.75">
      <c r="B16" s="9" t="s">
        <v>99</v>
      </c>
      <c r="C16" s="12" t="s">
        <v>100</v>
      </c>
      <c r="H16" s="37"/>
      <c r="L16" s="14"/>
      <c r="N16" s="62" t="s">
        <v>101</v>
      </c>
      <c r="O16" s="82"/>
    </row>
    <row r="17" spans="2:33">
      <c r="B17" s="9" t="s">
        <v>102</v>
      </c>
      <c r="C17" s="12" t="s">
        <v>103</v>
      </c>
      <c r="H17" s="37"/>
      <c r="L17" s="14"/>
      <c r="M17" s="45"/>
      <c r="N17" s="65" t="s">
        <v>44</v>
      </c>
      <c r="O17" s="77" t="s">
        <v>104</v>
      </c>
    </row>
    <row r="18" spans="2:33">
      <c r="B18" s="9" t="s">
        <v>105</v>
      </c>
      <c r="C18" s="76"/>
      <c r="H18" s="37"/>
      <c r="L18" s="14"/>
      <c r="M18" s="45"/>
      <c r="N18" s="65" t="s">
        <v>106</v>
      </c>
      <c r="O18" s="77" t="s">
        <v>107</v>
      </c>
    </row>
    <row r="19" spans="2:33">
      <c r="B19" s="10" t="s">
        <v>108</v>
      </c>
      <c r="C19" s="12" t="s">
        <v>109</v>
      </c>
      <c r="N19" s="65" t="s">
        <v>76</v>
      </c>
      <c r="O19" s="83"/>
    </row>
    <row r="20" spans="2:33">
      <c r="B20" s="9" t="s">
        <v>110</v>
      </c>
      <c r="C20" s="48" t="s">
        <v>111</v>
      </c>
      <c r="F20" s="11"/>
      <c r="G20" s="36"/>
    </row>
    <row r="21" spans="2:33">
      <c r="B21" s="8" t="s">
        <v>112</v>
      </c>
      <c r="C21" s="12" t="s">
        <v>41</v>
      </c>
      <c r="G21" s="36"/>
    </row>
    <row r="22" spans="2:33">
      <c r="B22" s="39" t="s">
        <v>113</v>
      </c>
      <c r="C22" s="50"/>
      <c r="G22" s="36"/>
    </row>
    <row r="23" spans="2:33">
      <c r="G23" s="36"/>
    </row>
    <row r="24" spans="2:33">
      <c r="B24" s="14"/>
      <c r="C24" s="35"/>
      <c r="D24" s="7"/>
      <c r="G24" s="36"/>
    </row>
    <row r="25" spans="2:33">
      <c r="C25" s="35"/>
      <c r="D25" s="7"/>
      <c r="I25" s="36"/>
    </row>
    <row r="26" spans="2:33">
      <c r="C26" s="35"/>
      <c r="D26" s="7"/>
    </row>
    <row r="28" spans="2:33">
      <c r="B28" s="107" t="s">
        <v>114</v>
      </c>
      <c r="C28" s="108"/>
      <c r="D28" s="108"/>
      <c r="E28" s="108"/>
      <c r="F28" s="108"/>
      <c r="G28" s="108"/>
      <c r="H28" s="108"/>
      <c r="I28" s="108"/>
      <c r="J28" s="109"/>
      <c r="K28" s="114" t="s">
        <v>115</v>
      </c>
      <c r="L28" s="115"/>
      <c r="M28" s="115"/>
      <c r="N28" s="115"/>
      <c r="O28" s="115"/>
      <c r="P28" s="115"/>
      <c r="Q28" s="115"/>
      <c r="R28" s="115"/>
      <c r="S28" s="115"/>
      <c r="T28" s="115"/>
      <c r="U28" s="116"/>
      <c r="V28" s="110" t="s">
        <v>116</v>
      </c>
      <c r="W28" s="111"/>
      <c r="X28" s="111"/>
      <c r="Y28" s="111"/>
      <c r="Z28" s="111"/>
      <c r="AA28" s="111"/>
      <c r="AB28" s="111"/>
      <c r="AC28" s="111"/>
      <c r="AD28" s="111"/>
      <c r="AE28" s="111"/>
      <c r="AF28" s="112" t="s">
        <v>117</v>
      </c>
      <c r="AG28" s="113"/>
    </row>
    <row r="29" spans="2:33" s="5" customFormat="1" ht="30.75">
      <c r="B29" s="47" t="s">
        <v>118</v>
      </c>
      <c r="C29" s="47" t="s">
        <v>51</v>
      </c>
      <c r="D29" s="57" t="s">
        <v>119</v>
      </c>
      <c r="E29" s="57" t="s">
        <v>120</v>
      </c>
      <c r="F29" s="47" t="s">
        <v>121</v>
      </c>
      <c r="G29" s="47" t="s">
        <v>122</v>
      </c>
      <c r="H29" s="47" t="s">
        <v>123</v>
      </c>
      <c r="I29" s="47" t="s">
        <v>124</v>
      </c>
      <c r="J29" s="47" t="s">
        <v>125</v>
      </c>
      <c r="K29" s="71" t="s">
        <v>126</v>
      </c>
      <c r="L29" s="72" t="s">
        <v>127</v>
      </c>
      <c r="M29" s="72" t="s">
        <v>119</v>
      </c>
      <c r="N29" s="72" t="s">
        <v>121</v>
      </c>
      <c r="O29" s="72" t="s">
        <v>122</v>
      </c>
      <c r="P29" s="72" t="s">
        <v>123</v>
      </c>
      <c r="Q29" s="72" t="s">
        <v>124</v>
      </c>
      <c r="R29" s="84" t="s">
        <v>128</v>
      </c>
      <c r="S29" s="72" t="s">
        <v>125</v>
      </c>
      <c r="T29" s="72" t="s">
        <v>120</v>
      </c>
      <c r="U29" s="73" t="s">
        <v>129</v>
      </c>
      <c r="V29" s="74" t="s">
        <v>130</v>
      </c>
      <c r="W29" s="74" t="s">
        <v>131</v>
      </c>
      <c r="X29" s="74" t="s">
        <v>119</v>
      </c>
      <c r="Y29" s="74" t="s">
        <v>121</v>
      </c>
      <c r="Z29" s="74" t="s">
        <v>122</v>
      </c>
      <c r="AA29" s="74" t="s">
        <v>123</v>
      </c>
      <c r="AB29" s="74" t="s">
        <v>132</v>
      </c>
      <c r="AC29" s="74" t="s">
        <v>133</v>
      </c>
      <c r="AD29" s="74" t="s">
        <v>134</v>
      </c>
      <c r="AE29" s="74" t="s">
        <v>120</v>
      </c>
      <c r="AF29" s="75" t="s">
        <v>135</v>
      </c>
      <c r="AG29" s="75" t="s">
        <v>136</v>
      </c>
    </row>
    <row r="30" spans="2:33" ht="32.25">
      <c r="B30" s="4"/>
      <c r="C30" s="3"/>
      <c r="D30" s="3"/>
      <c r="E30" s="42"/>
      <c r="F30" s="43"/>
      <c r="G30" s="43"/>
      <c r="H30" s="46"/>
      <c r="I30" s="3"/>
      <c r="J30" s="70"/>
      <c r="K30" s="53">
        <v>1</v>
      </c>
      <c r="L30" s="61" t="s">
        <v>75</v>
      </c>
      <c r="M30" s="52" t="s">
        <v>137</v>
      </c>
      <c r="N30" s="52" t="s">
        <v>138</v>
      </c>
      <c r="O30" s="52" t="s">
        <v>139</v>
      </c>
      <c r="P30" s="53">
        <v>10</v>
      </c>
      <c r="Q30" s="52"/>
      <c r="R30" s="52"/>
      <c r="S30" s="52" t="s">
        <v>140</v>
      </c>
      <c r="T30" s="68" t="s">
        <v>141</v>
      </c>
      <c r="U30" s="68"/>
      <c r="V30" s="69">
        <v>1</v>
      </c>
      <c r="W30" s="61" t="s">
        <v>142</v>
      </c>
      <c r="X30" s="61" t="s">
        <v>142</v>
      </c>
      <c r="Y30" s="61" t="s">
        <v>142</v>
      </c>
      <c r="Z30" s="61" t="s">
        <v>142</v>
      </c>
      <c r="AA30" s="61" t="s">
        <v>142</v>
      </c>
      <c r="AB30" s="61" t="s">
        <v>142</v>
      </c>
      <c r="AC30" s="61" t="s">
        <v>142</v>
      </c>
      <c r="AD30" s="61" t="s">
        <v>142</v>
      </c>
      <c r="AE30" s="61" t="s">
        <v>142</v>
      </c>
      <c r="AF30" s="61"/>
      <c r="AG30" s="61"/>
    </row>
    <row r="31" spans="2:33" ht="47.25">
      <c r="B31" s="4"/>
      <c r="C31" s="3"/>
      <c r="D31" s="3"/>
      <c r="E31" s="60" t="s">
        <v>143</v>
      </c>
      <c r="F31" s="4"/>
      <c r="G31" s="4"/>
      <c r="H31" s="4"/>
      <c r="I31" s="3"/>
      <c r="J31" s="70"/>
      <c r="K31" s="53">
        <v>2</v>
      </c>
      <c r="L31" s="61" t="s">
        <v>75</v>
      </c>
      <c r="M31" s="69" t="s">
        <v>144</v>
      </c>
      <c r="N31" s="69" t="s">
        <v>145</v>
      </c>
      <c r="O31" s="69" t="s">
        <v>146</v>
      </c>
      <c r="P31" s="69">
        <v>750</v>
      </c>
      <c r="Q31" s="61"/>
      <c r="R31" s="61"/>
      <c r="S31" s="61" t="s">
        <v>147</v>
      </c>
      <c r="T31" s="68" t="s">
        <v>148</v>
      </c>
      <c r="U31" s="68"/>
      <c r="V31" s="69">
        <v>2</v>
      </c>
      <c r="W31" s="43" t="s">
        <v>39</v>
      </c>
      <c r="X31" s="69" t="s">
        <v>144</v>
      </c>
      <c r="Y31" s="69" t="s">
        <v>145</v>
      </c>
      <c r="Z31" s="69" t="s">
        <v>149</v>
      </c>
      <c r="AA31" s="69">
        <v>250</v>
      </c>
      <c r="AB31" s="61"/>
      <c r="AC31" s="61"/>
      <c r="AD31" s="61"/>
      <c r="AE31" s="68" t="s">
        <v>148</v>
      </c>
      <c r="AF31" s="61"/>
      <c r="AG31" s="61"/>
    </row>
    <row r="32" spans="2:33" ht="32.25">
      <c r="B32" s="4"/>
      <c r="C32" s="3"/>
      <c r="D32" s="3"/>
      <c r="E32" s="60" t="s">
        <v>150</v>
      </c>
      <c r="F32" s="4"/>
      <c r="G32" s="4"/>
      <c r="H32" s="4"/>
      <c r="I32" s="3"/>
      <c r="J32" s="70"/>
      <c r="K32" s="69">
        <v>3</v>
      </c>
      <c r="L32" s="61" t="s">
        <v>75</v>
      </c>
      <c r="M32" s="69" t="s">
        <v>151</v>
      </c>
      <c r="N32" s="69" t="s">
        <v>152</v>
      </c>
      <c r="O32" s="69" t="s">
        <v>146</v>
      </c>
      <c r="P32" s="69">
        <v>250</v>
      </c>
      <c r="Q32" s="61"/>
      <c r="R32" s="61"/>
      <c r="S32" s="61" t="s">
        <v>147</v>
      </c>
      <c r="T32" s="68" t="s">
        <v>153</v>
      </c>
      <c r="U32" s="68"/>
      <c r="V32" s="69">
        <v>3</v>
      </c>
      <c r="W32" s="43" t="s">
        <v>39</v>
      </c>
      <c r="X32" s="69" t="s">
        <v>151</v>
      </c>
      <c r="Y32" s="69" t="s">
        <v>152</v>
      </c>
      <c r="Z32" s="69" t="s">
        <v>149</v>
      </c>
      <c r="AA32" s="69">
        <v>250</v>
      </c>
      <c r="AB32" s="61"/>
      <c r="AC32" s="61"/>
      <c r="AD32" s="61"/>
      <c r="AE32" s="68" t="s">
        <v>153</v>
      </c>
      <c r="AF32" s="61"/>
      <c r="AG32" s="61"/>
    </row>
    <row r="33" spans="2:33" ht="47.25">
      <c r="B33" s="4"/>
      <c r="C33" s="3"/>
      <c r="D33" s="3"/>
      <c r="E33" s="60" t="s">
        <v>154</v>
      </c>
      <c r="F33" s="4"/>
      <c r="G33" s="4"/>
      <c r="H33" s="4"/>
      <c r="I33" s="3"/>
      <c r="J33" s="70"/>
      <c r="K33" s="69">
        <v>4</v>
      </c>
      <c r="L33" s="61" t="s">
        <v>75</v>
      </c>
      <c r="M33" s="69" t="s">
        <v>155</v>
      </c>
      <c r="N33" s="69" t="s">
        <v>145</v>
      </c>
      <c r="O33" s="69" t="s">
        <v>146</v>
      </c>
      <c r="P33" s="69">
        <v>256</v>
      </c>
      <c r="Q33" s="61"/>
      <c r="R33" s="61"/>
      <c r="S33" s="61" t="s">
        <v>147</v>
      </c>
      <c r="T33" s="68" t="s">
        <v>156</v>
      </c>
      <c r="U33" s="68"/>
      <c r="V33" s="69">
        <v>4</v>
      </c>
      <c r="W33" s="43" t="s">
        <v>39</v>
      </c>
      <c r="X33" s="69" t="s">
        <v>155</v>
      </c>
      <c r="Y33" s="69" t="s">
        <v>145</v>
      </c>
      <c r="Z33" s="69" t="s">
        <v>149</v>
      </c>
      <c r="AA33" s="69">
        <v>256</v>
      </c>
      <c r="AB33" s="61"/>
      <c r="AC33" s="61"/>
      <c r="AD33" s="69"/>
      <c r="AE33" s="68" t="s">
        <v>156</v>
      </c>
      <c r="AF33" s="61"/>
      <c r="AG33" s="61"/>
    </row>
    <row r="34" spans="2:33" ht="32.25">
      <c r="B34" s="4"/>
      <c r="C34" s="3"/>
      <c r="D34" s="3"/>
      <c r="E34" s="60" t="s">
        <v>157</v>
      </c>
      <c r="F34" s="4"/>
      <c r="G34" s="4"/>
      <c r="H34" s="4"/>
      <c r="I34" s="3"/>
      <c r="J34" s="70"/>
      <c r="K34" s="53">
        <v>5</v>
      </c>
      <c r="L34" s="61" t="s">
        <v>75</v>
      </c>
      <c r="M34" s="69" t="s">
        <v>158</v>
      </c>
      <c r="N34" s="69" t="s">
        <v>145</v>
      </c>
      <c r="O34" s="69" t="s">
        <v>146</v>
      </c>
      <c r="P34" s="69">
        <v>5</v>
      </c>
      <c r="Q34" s="61"/>
      <c r="R34" s="61"/>
      <c r="S34" s="61" t="s">
        <v>147</v>
      </c>
      <c r="T34" s="68" t="s">
        <v>159</v>
      </c>
      <c r="U34" s="68"/>
      <c r="V34" s="69">
        <v>5</v>
      </c>
      <c r="W34" s="43" t="s">
        <v>39</v>
      </c>
      <c r="X34" s="69" t="s">
        <v>158</v>
      </c>
      <c r="Y34" s="69" t="s">
        <v>145</v>
      </c>
      <c r="Z34" s="69" t="s">
        <v>149</v>
      </c>
      <c r="AA34" s="69">
        <v>5</v>
      </c>
      <c r="AB34" s="61"/>
      <c r="AC34" s="61"/>
      <c r="AD34" s="69"/>
      <c r="AE34" s="68" t="s">
        <v>159</v>
      </c>
      <c r="AF34" s="61"/>
      <c r="AG34" s="61"/>
    </row>
    <row r="35" spans="2:33" ht="32.25">
      <c r="B35" s="4"/>
      <c r="C35" s="3"/>
      <c r="D35" s="3"/>
      <c r="E35" s="42" t="s">
        <v>160</v>
      </c>
      <c r="F35" s="4"/>
      <c r="G35" s="4"/>
      <c r="H35" s="4"/>
      <c r="I35" s="3"/>
      <c r="J35" s="70"/>
      <c r="K35" s="53">
        <v>6</v>
      </c>
      <c r="L35" s="61" t="s">
        <v>75</v>
      </c>
      <c r="M35" s="69" t="s">
        <v>161</v>
      </c>
      <c r="N35" s="69" t="s">
        <v>145</v>
      </c>
      <c r="O35" s="69" t="s">
        <v>162</v>
      </c>
      <c r="P35" s="69" t="s">
        <v>163</v>
      </c>
      <c r="Q35" s="61"/>
      <c r="R35" s="61"/>
      <c r="S35" s="61" t="s">
        <v>164</v>
      </c>
      <c r="T35" s="68" t="s">
        <v>153</v>
      </c>
      <c r="U35" s="68"/>
      <c r="V35" s="69">
        <v>6</v>
      </c>
      <c r="W35" s="43" t="s">
        <v>39</v>
      </c>
      <c r="X35" s="69" t="s">
        <v>161</v>
      </c>
      <c r="Y35" s="69" t="s">
        <v>145</v>
      </c>
      <c r="Z35" s="69" t="s">
        <v>162</v>
      </c>
      <c r="AA35" s="69">
        <v>38</v>
      </c>
      <c r="AB35" s="61"/>
      <c r="AC35" s="61"/>
      <c r="AD35" s="61"/>
      <c r="AE35" s="68" t="s">
        <v>153</v>
      </c>
      <c r="AF35" s="61"/>
      <c r="AG35" s="61"/>
    </row>
    <row r="36" spans="2:33" ht="32.25">
      <c r="B36" s="4"/>
      <c r="C36" s="3"/>
      <c r="D36" s="3"/>
      <c r="E36" s="42" t="s">
        <v>165</v>
      </c>
      <c r="F36" s="4"/>
      <c r="G36" s="4"/>
      <c r="H36" s="4"/>
      <c r="I36" s="3"/>
      <c r="J36" s="70"/>
      <c r="K36" s="69">
        <v>7</v>
      </c>
      <c r="L36" s="61" t="s">
        <v>75</v>
      </c>
      <c r="M36" s="69" t="s">
        <v>166</v>
      </c>
      <c r="N36" s="69" t="s">
        <v>145</v>
      </c>
      <c r="O36" s="69" t="s">
        <v>162</v>
      </c>
      <c r="P36" s="69" t="s">
        <v>163</v>
      </c>
      <c r="Q36" s="61"/>
      <c r="R36" s="61"/>
      <c r="S36" s="61" t="s">
        <v>164</v>
      </c>
      <c r="T36" s="68" t="s">
        <v>167</v>
      </c>
      <c r="U36" s="68"/>
      <c r="V36" s="69">
        <v>7</v>
      </c>
      <c r="W36" s="43" t="s">
        <v>39</v>
      </c>
      <c r="X36" s="69" t="s">
        <v>166</v>
      </c>
      <c r="Y36" s="69" t="s">
        <v>145</v>
      </c>
      <c r="Z36" s="69" t="s">
        <v>162</v>
      </c>
      <c r="AA36" s="69">
        <v>38</v>
      </c>
      <c r="AB36" s="61"/>
      <c r="AC36" s="61"/>
      <c r="AD36" s="61"/>
      <c r="AE36" s="68" t="s">
        <v>167</v>
      </c>
      <c r="AF36" s="61"/>
      <c r="AG36" s="61"/>
    </row>
    <row r="37" spans="2:33" ht="32.450000000000003" customHeight="1">
      <c r="B37" s="4"/>
      <c r="C37" s="3"/>
      <c r="D37" s="3"/>
      <c r="E37" s="42" t="s">
        <v>168</v>
      </c>
      <c r="F37" s="4"/>
      <c r="G37" s="4"/>
      <c r="H37" s="4"/>
      <c r="I37" s="3"/>
      <c r="J37" s="70"/>
      <c r="K37" s="69">
        <v>8</v>
      </c>
      <c r="L37" s="61" t="s">
        <v>75</v>
      </c>
      <c r="M37" s="69" t="s">
        <v>169</v>
      </c>
      <c r="N37" s="69" t="s">
        <v>145</v>
      </c>
      <c r="O37" s="69" t="s">
        <v>146</v>
      </c>
      <c r="P37" s="69">
        <v>250</v>
      </c>
      <c r="Q37" s="61"/>
      <c r="R37" s="61"/>
      <c r="S37" s="61" t="s">
        <v>147</v>
      </c>
      <c r="T37" s="68" t="s">
        <v>170</v>
      </c>
      <c r="U37" s="68"/>
      <c r="V37" s="69">
        <v>8</v>
      </c>
      <c r="W37" s="43" t="s">
        <v>39</v>
      </c>
      <c r="X37" s="69" t="s">
        <v>169</v>
      </c>
      <c r="Y37" s="69" t="s">
        <v>145</v>
      </c>
      <c r="Z37" s="69" t="s">
        <v>149</v>
      </c>
      <c r="AA37" s="69">
        <v>250</v>
      </c>
      <c r="AB37" s="61"/>
      <c r="AC37" s="61"/>
      <c r="AD37" s="61"/>
      <c r="AE37" s="68" t="s">
        <v>170</v>
      </c>
      <c r="AF37" s="61"/>
      <c r="AG37" s="61"/>
    </row>
    <row r="38" spans="2:33" ht="32.25">
      <c r="B38" s="4"/>
      <c r="C38" s="3"/>
      <c r="D38" s="3"/>
      <c r="E38" s="42" t="s">
        <v>171</v>
      </c>
      <c r="F38" s="4"/>
      <c r="G38" s="4"/>
      <c r="H38" s="4"/>
      <c r="I38" s="3"/>
      <c r="J38" s="70"/>
      <c r="K38" s="53">
        <v>9</v>
      </c>
      <c r="L38" s="61" t="s">
        <v>75</v>
      </c>
      <c r="M38" s="69" t="s">
        <v>172</v>
      </c>
      <c r="N38" s="69" t="s">
        <v>145</v>
      </c>
      <c r="O38" s="69" t="s">
        <v>146</v>
      </c>
      <c r="P38" s="69">
        <v>250</v>
      </c>
      <c r="Q38" s="61"/>
      <c r="R38" s="61"/>
      <c r="S38" s="61" t="s">
        <v>147</v>
      </c>
      <c r="T38" s="68" t="s">
        <v>173</v>
      </c>
      <c r="U38" s="68"/>
      <c r="V38" s="69">
        <v>9</v>
      </c>
      <c r="W38" s="43" t="s">
        <v>39</v>
      </c>
      <c r="X38" s="69" t="s">
        <v>172</v>
      </c>
      <c r="Y38" s="69" t="s">
        <v>145</v>
      </c>
      <c r="Z38" s="69" t="s">
        <v>149</v>
      </c>
      <c r="AA38" s="69">
        <v>250</v>
      </c>
      <c r="AB38" s="61"/>
      <c r="AC38" s="61"/>
      <c r="AD38" s="61"/>
      <c r="AE38" s="68" t="s">
        <v>173</v>
      </c>
      <c r="AF38" s="61"/>
      <c r="AG38" s="61"/>
    </row>
    <row r="39" spans="2:33" ht="32.25">
      <c r="B39" s="4"/>
      <c r="C39" s="3"/>
      <c r="D39" s="3"/>
      <c r="E39" s="42" t="s">
        <v>174</v>
      </c>
      <c r="F39" s="4"/>
      <c r="G39" s="4"/>
      <c r="H39" s="4"/>
      <c r="I39" s="3"/>
      <c r="J39" s="70"/>
      <c r="K39" s="53">
        <v>10</v>
      </c>
      <c r="L39" s="61" t="s">
        <v>75</v>
      </c>
      <c r="M39" s="69" t="s">
        <v>175</v>
      </c>
      <c r="N39" s="69" t="s">
        <v>145</v>
      </c>
      <c r="O39" s="69" t="s">
        <v>176</v>
      </c>
      <c r="P39" s="69">
        <v>26</v>
      </c>
      <c r="Q39" s="61"/>
      <c r="R39" s="61"/>
      <c r="S39" s="61" t="s">
        <v>177</v>
      </c>
      <c r="T39" s="68" t="s">
        <v>178</v>
      </c>
      <c r="U39" s="68"/>
      <c r="V39" s="69">
        <v>10</v>
      </c>
      <c r="W39" s="43" t="s">
        <v>39</v>
      </c>
      <c r="X39" s="69" t="s">
        <v>175</v>
      </c>
      <c r="Y39" s="69" t="s">
        <v>145</v>
      </c>
      <c r="Z39" s="69" t="s">
        <v>176</v>
      </c>
      <c r="AA39" s="69">
        <v>26</v>
      </c>
      <c r="AB39" s="61"/>
      <c r="AC39" s="61" t="s">
        <v>179</v>
      </c>
      <c r="AD39" s="61"/>
      <c r="AE39" s="68" t="s">
        <v>178</v>
      </c>
      <c r="AF39" s="61"/>
      <c r="AG39" s="61"/>
    </row>
    <row r="40" spans="2:33" ht="32.25">
      <c r="B40" s="4"/>
      <c r="C40" s="3"/>
      <c r="D40" s="3"/>
      <c r="E40" s="42" t="s">
        <v>180</v>
      </c>
      <c r="F40" s="4"/>
      <c r="G40" s="4"/>
      <c r="H40" s="4"/>
      <c r="I40" s="3"/>
      <c r="J40" s="70"/>
      <c r="K40" s="69">
        <v>11</v>
      </c>
      <c r="L40" s="61" t="s">
        <v>75</v>
      </c>
      <c r="M40" s="69" t="s">
        <v>181</v>
      </c>
      <c r="N40" s="69" t="s">
        <v>145</v>
      </c>
      <c r="O40" s="69" t="s">
        <v>146</v>
      </c>
      <c r="P40" s="69">
        <v>100</v>
      </c>
      <c r="Q40" s="61"/>
      <c r="R40" s="61"/>
      <c r="S40" s="61" t="s">
        <v>147</v>
      </c>
      <c r="T40" s="68" t="s">
        <v>182</v>
      </c>
      <c r="U40" s="68"/>
      <c r="V40" s="69">
        <v>11</v>
      </c>
      <c r="W40" s="43" t="s">
        <v>39</v>
      </c>
      <c r="X40" s="69" t="s">
        <v>181</v>
      </c>
      <c r="Y40" s="69" t="s">
        <v>145</v>
      </c>
      <c r="Z40" s="69" t="s">
        <v>149</v>
      </c>
      <c r="AA40" s="69">
        <v>100</v>
      </c>
      <c r="AB40" s="61"/>
      <c r="AC40" s="61"/>
      <c r="AD40" s="61"/>
      <c r="AE40" s="68" t="s">
        <v>182</v>
      </c>
      <c r="AF40" s="61"/>
      <c r="AG40" s="61"/>
    </row>
    <row r="41" spans="2:33" ht="32.25">
      <c r="B41" s="4"/>
      <c r="C41" s="3"/>
      <c r="D41" s="3"/>
      <c r="E41" s="42" t="s">
        <v>183</v>
      </c>
      <c r="F41" s="4"/>
      <c r="G41" s="4"/>
      <c r="H41" s="4"/>
      <c r="I41" s="3"/>
      <c r="J41" s="70"/>
      <c r="K41" s="69">
        <v>12</v>
      </c>
      <c r="L41" s="61" t="s">
        <v>75</v>
      </c>
      <c r="M41" s="69" t="s">
        <v>184</v>
      </c>
      <c r="N41" s="69" t="s">
        <v>145</v>
      </c>
      <c r="O41" s="69" t="s">
        <v>176</v>
      </c>
      <c r="P41" s="69">
        <v>26</v>
      </c>
      <c r="Q41" s="61"/>
      <c r="R41" s="61"/>
      <c r="S41" s="61" t="s">
        <v>185</v>
      </c>
      <c r="T41" s="68" t="s">
        <v>186</v>
      </c>
      <c r="U41" s="68"/>
      <c r="V41" s="69">
        <v>12</v>
      </c>
      <c r="W41" s="43" t="s">
        <v>39</v>
      </c>
      <c r="X41" s="69" t="s">
        <v>184</v>
      </c>
      <c r="Y41" s="69" t="s">
        <v>145</v>
      </c>
      <c r="Z41" s="69" t="s">
        <v>176</v>
      </c>
      <c r="AA41" s="69">
        <v>26</v>
      </c>
      <c r="AB41" s="61"/>
      <c r="AC41" s="61" t="s">
        <v>179</v>
      </c>
      <c r="AD41" s="61"/>
      <c r="AE41" s="68" t="s">
        <v>186</v>
      </c>
      <c r="AF41" s="61"/>
      <c r="AG41" s="61"/>
    </row>
    <row r="42" spans="2:33" ht="32.25">
      <c r="B42" s="4"/>
      <c r="C42" s="3"/>
      <c r="E42" s="42" t="s">
        <v>187</v>
      </c>
      <c r="F42" s="2"/>
      <c r="G42" s="2"/>
      <c r="H42" s="2"/>
      <c r="I42" s="3"/>
      <c r="J42" s="70"/>
      <c r="K42" s="53">
        <v>13</v>
      </c>
      <c r="L42" s="61" t="s">
        <v>75</v>
      </c>
      <c r="M42" s="69" t="s">
        <v>188</v>
      </c>
      <c r="N42" s="69" t="s">
        <v>145</v>
      </c>
      <c r="O42" s="69" t="s">
        <v>146</v>
      </c>
      <c r="P42" s="69">
        <v>100</v>
      </c>
      <c r="Q42" s="61"/>
      <c r="R42" s="61"/>
      <c r="S42" s="61" t="s">
        <v>147</v>
      </c>
      <c r="T42" s="68" t="s">
        <v>189</v>
      </c>
      <c r="U42" s="68"/>
      <c r="V42" s="69">
        <v>13</v>
      </c>
      <c r="W42" s="43" t="s">
        <v>39</v>
      </c>
      <c r="X42" s="61" t="s">
        <v>188</v>
      </c>
      <c r="Y42" s="69" t="s">
        <v>145</v>
      </c>
      <c r="Z42" s="69" t="s">
        <v>149</v>
      </c>
      <c r="AA42" s="69">
        <v>100</v>
      </c>
      <c r="AB42" s="61"/>
      <c r="AC42" s="61"/>
      <c r="AD42" s="61"/>
      <c r="AE42" s="68" t="s">
        <v>189</v>
      </c>
      <c r="AF42" s="61"/>
      <c r="AG42" s="61"/>
    </row>
    <row r="43" spans="2:33" ht="47.25">
      <c r="B43" s="4"/>
      <c r="C43" s="3"/>
      <c r="D43" s="61"/>
      <c r="E43" s="42"/>
      <c r="F43" s="52"/>
      <c r="G43" s="52"/>
      <c r="H43" s="53"/>
      <c r="I43" s="3"/>
      <c r="J43" s="70"/>
      <c r="K43" s="53">
        <v>14</v>
      </c>
      <c r="L43" s="61" t="s">
        <v>75</v>
      </c>
      <c r="M43" s="52" t="s">
        <v>190</v>
      </c>
      <c r="N43" s="52" t="s">
        <v>138</v>
      </c>
      <c r="O43" s="52" t="s">
        <v>176</v>
      </c>
      <c r="P43" s="53">
        <v>26</v>
      </c>
      <c r="Q43" s="52"/>
      <c r="R43" s="52"/>
      <c r="S43" s="52" t="s">
        <v>191</v>
      </c>
      <c r="T43" s="68" t="s">
        <v>192</v>
      </c>
      <c r="U43" s="68"/>
      <c r="V43" s="61"/>
      <c r="W43" s="61"/>
      <c r="X43" s="61"/>
      <c r="Y43" s="61"/>
      <c r="Z43" s="61"/>
      <c r="AA43" s="61"/>
      <c r="AB43" s="69"/>
      <c r="AC43" s="61"/>
      <c r="AD43" s="61"/>
      <c r="AE43" s="68"/>
      <c r="AF43" s="61"/>
      <c r="AG43" s="61"/>
    </row>
    <row r="44" spans="2:33" ht="32.25">
      <c r="B44" s="4"/>
      <c r="C44" s="3"/>
      <c r="D44" s="61"/>
      <c r="E44" s="42"/>
      <c r="F44" s="52"/>
      <c r="G44" s="52"/>
      <c r="H44" s="53"/>
      <c r="I44" s="3"/>
      <c r="J44" s="70"/>
      <c r="K44" s="69">
        <v>15</v>
      </c>
      <c r="L44" s="61" t="s">
        <v>75</v>
      </c>
      <c r="M44" s="52" t="s">
        <v>193</v>
      </c>
      <c r="N44" s="52" t="s">
        <v>138</v>
      </c>
      <c r="O44" s="52" t="s">
        <v>146</v>
      </c>
      <c r="P44" s="53">
        <v>10</v>
      </c>
      <c r="Q44" s="52"/>
      <c r="R44" s="52"/>
      <c r="S44" s="52" t="s">
        <v>194</v>
      </c>
      <c r="T44" s="68" t="s">
        <v>195</v>
      </c>
      <c r="U44" s="68"/>
      <c r="V44" s="61"/>
      <c r="W44" s="61"/>
      <c r="X44" s="61"/>
      <c r="Y44" s="61"/>
      <c r="Z44" s="61"/>
      <c r="AA44" s="61"/>
      <c r="AB44" s="69"/>
      <c r="AC44" s="61"/>
      <c r="AD44" s="61"/>
      <c r="AE44" s="68"/>
      <c r="AF44" s="61"/>
      <c r="AG44" s="61"/>
    </row>
    <row r="45" spans="2:33" ht="32.25">
      <c r="B45" s="4"/>
      <c r="C45" s="3"/>
      <c r="D45" s="61"/>
      <c r="E45" s="42"/>
      <c r="F45" s="52"/>
      <c r="G45" s="52"/>
      <c r="H45" s="53"/>
      <c r="I45" s="3"/>
      <c r="J45" s="70"/>
      <c r="K45" s="69">
        <v>16</v>
      </c>
      <c r="L45" s="61" t="s">
        <v>75</v>
      </c>
      <c r="M45" s="52" t="s">
        <v>196</v>
      </c>
      <c r="N45" s="52" t="s">
        <v>138</v>
      </c>
      <c r="O45" s="52" t="s">
        <v>146</v>
      </c>
      <c r="P45" s="53">
        <v>4</v>
      </c>
      <c r="Q45" s="52"/>
      <c r="R45" s="52"/>
      <c r="S45" s="52" t="s">
        <v>197</v>
      </c>
      <c r="T45" s="68" t="s">
        <v>198</v>
      </c>
      <c r="U45" s="68"/>
      <c r="V45" s="61"/>
      <c r="W45" s="61"/>
      <c r="X45" s="61"/>
      <c r="Y45" s="61"/>
      <c r="Z45" s="61"/>
      <c r="AA45" s="61"/>
      <c r="AB45" s="69"/>
      <c r="AC45" s="61"/>
      <c r="AD45" s="61"/>
      <c r="AE45" s="68"/>
      <c r="AF45" s="61"/>
      <c r="AG45" s="61"/>
    </row>
    <row r="46" spans="2:33" ht="32.25">
      <c r="B46" s="4"/>
      <c r="C46" s="3"/>
      <c r="D46" s="61"/>
      <c r="E46" s="42"/>
      <c r="F46" s="52"/>
      <c r="G46" s="52"/>
      <c r="H46" s="53"/>
      <c r="I46" s="3"/>
      <c r="J46" s="70"/>
      <c r="K46" s="53">
        <v>17</v>
      </c>
      <c r="L46" s="61" t="s">
        <v>75</v>
      </c>
      <c r="M46" s="52" t="s">
        <v>199</v>
      </c>
      <c r="N46" s="52" t="s">
        <v>138</v>
      </c>
      <c r="O46" s="52" t="s">
        <v>146</v>
      </c>
      <c r="P46" s="53">
        <v>2</v>
      </c>
      <c r="Q46" s="52"/>
      <c r="R46" s="52"/>
      <c r="S46" s="52" t="s">
        <v>200</v>
      </c>
      <c r="T46" s="68" t="s">
        <v>201</v>
      </c>
      <c r="U46" s="68"/>
      <c r="V46" s="61"/>
      <c r="W46" s="61"/>
      <c r="X46" s="61"/>
      <c r="Y46" s="61"/>
      <c r="Z46" s="61"/>
      <c r="AA46" s="61"/>
      <c r="AB46" s="69"/>
      <c r="AC46" s="61"/>
      <c r="AD46" s="61"/>
      <c r="AE46" s="68"/>
      <c r="AF46" s="61"/>
      <c r="AG46" s="61"/>
    </row>
    <row r="47" spans="2:33" ht="32.25">
      <c r="B47" s="4"/>
      <c r="C47" s="3"/>
      <c r="D47" s="61"/>
      <c r="E47" s="42"/>
      <c r="F47" s="52"/>
      <c r="G47" s="52"/>
      <c r="H47" s="53"/>
      <c r="I47" s="3"/>
      <c r="J47" s="70"/>
      <c r="K47" s="53">
        <v>18</v>
      </c>
      <c r="L47" s="61" t="s">
        <v>75</v>
      </c>
      <c r="M47" s="52" t="s">
        <v>202</v>
      </c>
      <c r="N47" s="52" t="s">
        <v>138</v>
      </c>
      <c r="O47" s="52" t="s">
        <v>146</v>
      </c>
      <c r="P47" s="53">
        <v>2</v>
      </c>
      <c r="Q47" s="52"/>
      <c r="R47" s="52"/>
      <c r="S47" s="52" t="s">
        <v>203</v>
      </c>
      <c r="T47" s="68" t="s">
        <v>204</v>
      </c>
      <c r="U47" s="68"/>
      <c r="V47" s="61"/>
      <c r="W47" s="61"/>
      <c r="X47" s="61"/>
      <c r="Y47" s="61"/>
      <c r="Z47" s="61"/>
      <c r="AA47" s="61"/>
      <c r="AB47" s="69"/>
      <c r="AC47" s="61"/>
      <c r="AD47" s="61"/>
      <c r="AE47" s="68"/>
      <c r="AF47" s="61"/>
      <c r="AG47" s="61"/>
    </row>
  </sheetData>
  <autoFilter ref="A29:AG47" xr:uid="{8F042FB2-C231-4E32-9805-712A1DD692CF}"/>
  <mergeCells count="4">
    <mergeCell ref="B28:J28"/>
    <mergeCell ref="V28:AE28"/>
    <mergeCell ref="AF28:AG28"/>
    <mergeCell ref="K28:U28"/>
  </mergeCells>
  <phoneticPr fontId="23" type="noConversion"/>
  <conditionalFormatting sqref="X29">
    <cfRule type="duplicateValues" dxfId="2" priority="5"/>
    <cfRule type="duplicateValues" dxfId="1" priority="6"/>
    <cfRule type="duplicateValues" dxfId="0" priority="7"/>
  </conditionalFormatting>
  <dataValidations count="6">
    <dataValidation type="list" showInputMessage="1" showErrorMessage="1" sqref="E4" xr:uid="{61F207AA-A28A-4BCA-BF69-907F251C79D1}">
      <formula1>"NON-MAINFRAME,MAINFRAME,MANUAL FILE"</formula1>
    </dataValidation>
    <dataValidation type="list" allowBlank="1" showInputMessage="1" showErrorMessage="1" sqref="D4" xr:uid="{F45FB91A-C8E2-4B70-816A-AA8DE7253A96}">
      <formula1>"Fulldump,Delta,Transaction"</formula1>
    </dataValidation>
    <dataValidation type="list" showInputMessage="1" showErrorMessage="1" sqref="C14" xr:uid="{773F24FB-9D07-412B-A98A-40C3001A62B8}">
      <formula1>"F = Fixed length,D = Delimited,E = Excel,P = Parquet"</formula1>
    </dataValidation>
    <dataValidation type="list" showInputMessage="1" showErrorMessage="1" sqref="C19" xr:uid="{7CA27302-ED0E-436A-BDBA-37BF398028C4}">
      <formula1>"Y = Skip load on weekend and holiday (public day),Y = Skip load on holiday (public day),Y = Skip load on weekend only,N = Not skip load (Everyday load)"</formula1>
    </dataValidation>
    <dataValidation type="list" showInputMessage="1" showErrorMessage="1" sqref="C17" xr:uid="{CEFA1DE7-776F-4A5B-AB59-80885BA7C970}">
      <formula1>"Y = Double quote("") contains between column,N = No double quote("") contains between column"</formula1>
    </dataValidation>
    <dataValidation type="list" allowBlank="1" showInputMessage="1" showErrorMessage="1" sqref="O7" xr:uid="{7768DE19-3D34-4F60-A2CE-4899E12192A1}">
      <formula1>"Extraction Push File,Extraction Pull File"</formula1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FD9AE288478C4787BD67177B4D53F7" ma:contentTypeVersion="14" ma:contentTypeDescription="Create a new document." ma:contentTypeScope="" ma:versionID="b99f8630e8c2cb7429d6ffdd2a508736">
  <xsd:schema xmlns:xsd="http://www.w3.org/2001/XMLSchema" xmlns:xs="http://www.w3.org/2001/XMLSchema" xmlns:p="http://schemas.microsoft.com/office/2006/metadata/properties" xmlns:ns2="4b973138-a777-422f-b6da-f7effc5ec0fc" xmlns:ns3="22914474-e2c6-446d-a6d7-c8eb4d0a067b" targetNamespace="http://schemas.microsoft.com/office/2006/metadata/properties" ma:root="true" ma:fieldsID="a3d171955dd0967d954fba1ee006df67" ns2:_="" ns3:_="">
    <xsd:import namespace="4b973138-a777-422f-b6da-f7effc5ec0fc"/>
    <xsd:import namespace="22914474-e2c6-446d-a6d7-c8eb4d0a06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973138-a777-422f-b6da-f7effc5ec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5cb27d5-2ecb-4528-aa23-d948d3502b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14474-e2c6-446d-a6d7-c8eb4d0a067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b342c13-3a1c-4b2e-b17a-7fa2544c37c7}" ma:internalName="TaxCatchAll" ma:showField="CatchAllData" ma:web="22914474-e2c6-446d-a6d7-c8eb4d0a06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973138-a777-422f-b6da-f7effc5ec0fc">
      <Terms xmlns="http://schemas.microsoft.com/office/infopath/2007/PartnerControls"/>
    </lcf76f155ced4ddcb4097134ff3c332f>
    <TaxCatchAll xmlns="22914474-e2c6-446d-a6d7-c8eb4d0a067b" xsi:nil="true"/>
  </documentManagement>
</p:properties>
</file>

<file path=customXml/itemProps1.xml><?xml version="1.0" encoding="utf-8"?>
<ds:datastoreItem xmlns:ds="http://schemas.openxmlformats.org/officeDocument/2006/customXml" ds:itemID="{8FC17C57-AF50-4107-97BB-243C96885E84}"/>
</file>

<file path=customXml/itemProps2.xml><?xml version="1.0" encoding="utf-8"?>
<ds:datastoreItem xmlns:ds="http://schemas.openxmlformats.org/officeDocument/2006/customXml" ds:itemID="{4BAAC907-8338-4C60-82E9-23938800769D}"/>
</file>

<file path=customXml/itemProps3.xml><?xml version="1.0" encoding="utf-8"?>
<ds:datastoreItem xmlns:ds="http://schemas.openxmlformats.org/officeDocument/2006/customXml" ds:itemID="{5B237C4E-1B20-4254-8171-8B47E5CD16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Chiwitsophon, Chonnikan</dc:creator>
  <cp:keywords/>
  <dc:description/>
  <cp:lastModifiedBy>Chonnikan Chiwitsophon</cp:lastModifiedBy>
  <cp:revision/>
  <dcterms:created xsi:type="dcterms:W3CDTF">2023-12-18T08:19:54Z</dcterms:created>
  <dcterms:modified xsi:type="dcterms:W3CDTF">2024-05-13T16:41:34Z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0x0101004DFD9AE288478C4787BD67177B4D53F7</vt:lpwstr>
  </property>
  <property fmtid="{D5CDD505-2E9C-101B-9397-08002B2CF9AE}" pid="3" name="MediaServiceImageTags">
    <vt:lpwstr/>
  </property>
</Properties>
</file>