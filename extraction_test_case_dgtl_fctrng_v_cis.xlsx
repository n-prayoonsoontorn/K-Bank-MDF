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n.prayoonsoontorn/Desktop/Extraction Unit Test Case/factoring/"/>
    </mc:Choice>
  </mc:AlternateContent>
  <xr:revisionPtr revIDLastSave="0" documentId="13_ncr:1_{F4FE446C-EFB4-FA47-922F-8E1044B4E6E1}" xr6:coauthVersionLast="47" xr6:coauthVersionMax="47" xr10:uidLastSave="{00000000-0000-0000-0000-000000000000}"/>
  <bookViews>
    <workbookView xWindow="0" yWindow="740" windowWidth="34560" windowHeight="21600" activeTab="4" xr2:uid="{34509289-E052-DC40-A13C-00D2ED2E6B62}"/>
  </bookViews>
  <sheets>
    <sheet name="Summary" sheetId="11" r:id="rId1"/>
    <sheet name="Extraction Unit Test Case1 " sheetId="6" r:id="rId2"/>
    <sheet name="Extraction Unit Test Case 2" sheetId="10" r:id="rId3"/>
    <sheet name="Extraction Unit Test Case3" sheetId="9" r:id="rId4"/>
    <sheet name="Extraction Unit Test Case4" sheetId="8" r:id="rId5"/>
    <sheet name="Pull Db Dbeaver " sheetId="12" r:id="rId6"/>
    <sheet name="Pull Data File" sheetId="14" r:id="rId7"/>
  </sheets>
  <definedNames>
    <definedName name="v_cis_1" localSheetId="5">'Pull Db Dbeaver '!#REF!</definedName>
    <definedName name="v_cis_datafile" localSheetId="6">'Pull Data File'!#REF!</definedName>
    <definedName name="v_cis_datafile_1" localSheetId="6">'Pull Data File'!$A$1:$DK$30</definedName>
    <definedName name="v_cis_db" localSheetId="6">'Pull Data File'!#REF!</definedName>
    <definedName name="v_cis_db_1" localSheetId="5">'Pull Db Dbeaver '!#REF!</definedName>
    <definedName name="v_cis_db_2" localSheetId="5">'Pull Db Dbeaver '!#REF!</definedName>
    <definedName name="v_cis_db_3" localSheetId="5">'Pull Db Dbeaver '!#REF!</definedName>
    <definedName name="v_cis_db_4" localSheetId="5">'Pull Db Dbeaver '!$A$1:$DK$30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8" l="1" a="1"/>
  <c r="B16" i="8" s="1"/>
  <c r="B17" i="8" a="1"/>
  <c r="B17" i="8"/>
  <c r="B18" i="8" a="1"/>
  <c r="B18" i="8"/>
  <c r="B19" i="8" a="1"/>
  <c r="B19" i="8"/>
  <c r="B20" i="8" a="1"/>
  <c r="B20" i="8"/>
  <c r="B21" i="8" a="1"/>
  <c r="B21" i="8"/>
  <c r="B22" i="8" a="1"/>
  <c r="B22" i="8" s="1"/>
  <c r="B23" i="8" a="1"/>
  <c r="B23" i="8"/>
  <c r="B24" i="8" a="1"/>
  <c r="B24" i="8" s="1"/>
  <c r="B25" i="8" a="1"/>
  <c r="B25" i="8"/>
  <c r="A8" i="9"/>
  <c r="B11" i="8" a="1"/>
  <c r="B11" i="8" s="1"/>
  <c r="B12" i="8" a="1"/>
  <c r="B12" i="8" s="1"/>
  <c r="B13" i="8" a="1"/>
  <c r="B13" i="8" s="1"/>
  <c r="B14" i="8" a="1"/>
  <c r="B14" i="8" s="1"/>
  <c r="B15" i="8" a="1"/>
  <c r="B15" i="8" s="1"/>
  <c r="B26" i="8" a="1"/>
  <c r="B26" i="8" s="1"/>
  <c r="C12" i="8" a="1"/>
  <c r="C12" i="8" s="1"/>
  <c r="C13" i="8" a="1"/>
  <c r="C13" i="8" s="1"/>
  <c r="C14" i="8" a="1"/>
  <c r="C14" i="8" s="1"/>
  <c r="C15" i="8" a="1"/>
  <c r="C15" i="8" s="1"/>
  <c r="C16" i="8" a="1"/>
  <c r="C16" i="8" s="1"/>
  <c r="B27" i="8" s="1" a="1"/>
  <c r="B27" i="8" s="1"/>
  <c r="C17" i="8" a="1"/>
  <c r="C17" i="8" s="1"/>
  <c r="B28" i="8" s="1" a="1"/>
  <c r="B28" i="8" s="1"/>
  <c r="C18" i="8" a="1"/>
  <c r="C18" i="8" s="1"/>
  <c r="B29" i="8" s="1" a="1"/>
  <c r="B29" i="8" s="1"/>
  <c r="C19" i="8" a="1"/>
  <c r="C19" i="8" s="1"/>
  <c r="B30" i="8" s="1" a="1"/>
  <c r="B30" i="8" s="1"/>
  <c r="C20" i="8" a="1"/>
  <c r="C20" i="8" s="1"/>
  <c r="B31" i="8" s="1" a="1"/>
  <c r="B31" i="8" s="1"/>
  <c r="C21" i="8" a="1"/>
  <c r="C21" i="8" s="1"/>
  <c r="B32" i="8" s="1" a="1"/>
  <c r="B32" i="8" s="1"/>
  <c r="C22" i="8" a="1"/>
  <c r="C22" i="8" s="1"/>
  <c r="B33" i="8" s="1" a="1"/>
  <c r="B33" i="8" s="1"/>
  <c r="C23" i="8" a="1"/>
  <c r="C23" i="8" s="1"/>
  <c r="B34" i="8" s="1" a="1"/>
  <c r="B34" i="8" s="1"/>
  <c r="C24" i="8" a="1"/>
  <c r="C24" i="8" s="1"/>
  <c r="B35" i="8" s="1" a="1"/>
  <c r="B35" i="8" s="1"/>
  <c r="C25" i="8" a="1"/>
  <c r="C25" i="8" s="1"/>
  <c r="B36" i="8" s="1" a="1"/>
  <c r="B36" i="8" s="1"/>
  <c r="C26" i="8" a="1"/>
  <c r="C26" i="8" s="1"/>
  <c r="B37" i="8" s="1" a="1"/>
  <c r="B37" i="8" s="1"/>
  <c r="C27" i="8" a="1"/>
  <c r="C27" i="8" s="1"/>
  <c r="B38" i="8" s="1" a="1"/>
  <c r="B38" i="8" s="1"/>
  <c r="C28" i="8" a="1"/>
  <c r="C28" i="8" s="1"/>
  <c r="B39" i="8" s="1" a="1"/>
  <c r="B39" i="8" s="1"/>
  <c r="C29" i="8" a="1"/>
  <c r="C29" i="8" s="1"/>
  <c r="B40" i="8" s="1" a="1"/>
  <c r="B40" i="8" s="1"/>
  <c r="C30" i="8" a="1"/>
  <c r="C30" i="8" s="1"/>
  <c r="C31" i="8" a="1"/>
  <c r="C31" i="8" s="1"/>
  <c r="C32" i="8" a="1"/>
  <c r="C32" i="8" s="1"/>
  <c r="C33" i="8" a="1"/>
  <c r="C33" i="8" s="1"/>
  <c r="C34" i="8" a="1"/>
  <c r="C34" i="8" s="1"/>
  <c r="C35" i="8" a="1"/>
  <c r="C35" i="8" s="1"/>
  <c r="C36" i="8" a="1"/>
  <c r="C36" i="8" s="1"/>
  <c r="C37" i="8" a="1"/>
  <c r="C37" i="8" s="1"/>
  <c r="C38" i="8" a="1"/>
  <c r="C38" i="8" s="1"/>
  <c r="C39" i="8" a="1"/>
  <c r="C39" i="8" s="1"/>
  <c r="C40" i="8" a="1"/>
  <c r="C40" i="8" s="1"/>
  <c r="C11" i="8" a="1"/>
  <c r="C11" i="8" s="1"/>
  <c r="A49" i="8" a="1"/>
  <c r="A49" i="8" s="1"/>
  <c r="A8" i="8" l="1"/>
  <c r="C12" i="11"/>
  <c r="A12" i="11"/>
  <c r="A8" i="6"/>
  <c r="A8" i="10"/>
  <c r="B12" i="11" s="1"/>
  <c r="D12" i="11"/>
  <c r="D34" i="10"/>
  <c r="D141" i="10"/>
  <c r="D142" i="10"/>
  <c r="D143" i="10"/>
  <c r="D144" i="10"/>
  <c r="D145" i="10"/>
  <c r="D146" i="10"/>
  <c r="D147" i="10"/>
  <c r="D148" i="10"/>
  <c r="D119" i="10"/>
  <c r="D120" i="10"/>
  <c r="D121" i="10"/>
  <c r="D122" i="10"/>
  <c r="D123" i="10"/>
  <c r="D124" i="10"/>
  <c r="D125" i="10"/>
  <c r="D126" i="10"/>
  <c r="D127" i="10"/>
  <c r="D128" i="10"/>
  <c r="D129" i="10"/>
  <c r="D130" i="10"/>
  <c r="D131" i="10"/>
  <c r="D132" i="10"/>
  <c r="D133" i="10"/>
  <c r="D134" i="10"/>
  <c r="D135" i="10"/>
  <c r="D136" i="10"/>
  <c r="D137" i="10"/>
  <c r="D138" i="10"/>
  <c r="D139" i="10"/>
  <c r="D140" i="10"/>
  <c r="D100" i="10"/>
  <c r="D101" i="10"/>
  <c r="D102" i="10"/>
  <c r="D103" i="10"/>
  <c r="D104" i="10"/>
  <c r="D105" i="10"/>
  <c r="D106" i="10"/>
  <c r="D107" i="10"/>
  <c r="D108" i="10"/>
  <c r="D109" i="10"/>
  <c r="D110" i="10"/>
  <c r="D111" i="10"/>
  <c r="D112" i="10"/>
  <c r="D113" i="10"/>
  <c r="D114" i="10"/>
  <c r="D115" i="10"/>
  <c r="D116" i="10"/>
  <c r="D117" i="10"/>
  <c r="D118" i="10"/>
  <c r="D77" i="10"/>
  <c r="D78" i="10"/>
  <c r="D79" i="10"/>
  <c r="D80" i="10"/>
  <c r="D81" i="10"/>
  <c r="D82" i="10"/>
  <c r="D83" i="10"/>
  <c r="D84" i="10"/>
  <c r="D85" i="10"/>
  <c r="D86" i="10"/>
  <c r="D87" i="10"/>
  <c r="D88" i="10"/>
  <c r="D89" i="10"/>
  <c r="D90" i="10"/>
  <c r="D91" i="10"/>
  <c r="D92" i="10"/>
  <c r="D93" i="10"/>
  <c r="D94" i="10"/>
  <c r="D95" i="10"/>
  <c r="D96" i="10"/>
  <c r="D97" i="10"/>
  <c r="D98" i="10"/>
  <c r="D99" i="10"/>
  <c r="D58" i="10"/>
  <c r="D59" i="10"/>
  <c r="D60" i="10"/>
  <c r="D61" i="10"/>
  <c r="D62" i="10"/>
  <c r="D63" i="10"/>
  <c r="D64" i="10"/>
  <c r="D65" i="10"/>
  <c r="D66" i="10"/>
  <c r="D67" i="10"/>
  <c r="D68" i="10"/>
  <c r="D69" i="10"/>
  <c r="D70" i="10"/>
  <c r="D71" i="10"/>
  <c r="D72" i="10"/>
  <c r="D73" i="10"/>
  <c r="D74" i="10"/>
  <c r="D75" i="10"/>
  <c r="D76" i="10"/>
  <c r="D35" i="10"/>
  <c r="D36" i="10"/>
  <c r="D37" i="10"/>
  <c r="D38" i="10"/>
  <c r="D39" i="10"/>
  <c r="D40" i="10"/>
  <c r="D41" i="10"/>
  <c r="D42" i="10"/>
  <c r="D43" i="10"/>
  <c r="D44" i="10"/>
  <c r="D45" i="10"/>
  <c r="D46" i="10"/>
  <c r="D47" i="10"/>
  <c r="D48" i="10"/>
  <c r="D49" i="10"/>
  <c r="D50" i="10"/>
  <c r="D51" i="10"/>
  <c r="D52" i="10"/>
  <c r="D53" i="10"/>
  <c r="D54" i="10"/>
  <c r="D55" i="10"/>
  <c r="D56" i="10"/>
  <c r="D5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03726-1B74-4347-AC99-A4E7036BF4C5}" name="v_cis_datafile1" type="6" refreshedVersion="8" background="1" saveData="1">
    <textPr codePage="65001" sourceFile="/Users/n.prayoonsoontorn/Desktop/CSVPOWER/v_cis_datafile.csv" tab="0" qualifier="none" delimiter="|">
      <textFields count="115">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3B578DBC-2A71-A242-A69B-F4B04E6823D4}" name="v_cis_db4" type="6" refreshedVersion="8" background="1" saveData="1">
    <textPr codePage="65001" sourceFile="/Users/n.prayoonsoontorn/Desktop/CSVPOWER/v_cis_db.csv" tab="0" qualifier="none" delimiter="|">
      <textFields count="115">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<sst xmlns="http://schemas.openxmlformats.org/spreadsheetml/2006/main" count="7752" uniqueCount="980">
  <si>
    <t>dgtl_fctrng_v_cis</t>
  </si>
  <si>
    <t>Field</t>
  </si>
  <si>
    <t>Value</t>
  </si>
  <si>
    <t>Data Type</t>
  </si>
  <si>
    <t>Data Size</t>
  </si>
  <si>
    <t>Date Format</t>
  </si>
  <si>
    <t>OrgCode</t>
  </si>
  <si>
    <t>"KBANK"</t>
  </si>
  <si>
    <t>varchar</t>
  </si>
  <si>
    <t>CisNo</t>
  </si>
  <si>
    <t>"0000000005"</t>
  </si>
  <si>
    <t>NameTh</t>
  </si>
  <si>
    <t>NameEn</t>
  </si>
  <si>
    <t>"NARAKRIT CO.,LTD."</t>
  </si>
  <si>
    <t>ThTitle</t>
  </si>
  <si>
    <t>"บจก."</t>
  </si>
  <si>
    <t>ThFirstName</t>
  </si>
  <si>
    <t>"ณรกฤต"</t>
  </si>
  <si>
    <t>ThSurName</t>
  </si>
  <si>
    <t>""</t>
  </si>
  <si>
    <t>ThMiddleName</t>
  </si>
  <si>
    <t>EnTitle</t>
  </si>
  <si>
    <t>"CO.,LTD."</t>
  </si>
  <si>
    <t>EnFirstName</t>
  </si>
  <si>
    <t>"NARAKRIT"</t>
  </si>
  <si>
    <t>EnSurName</t>
  </si>
  <si>
    <t>EnMiddleName</t>
  </si>
  <si>
    <t>RiskRate</t>
  </si>
  <si>
    <t>"1"</t>
  </si>
  <si>
    <t>DocType</t>
  </si>
  <si>
    <t>"หนังสือรับรองการจดทะเบียน"</t>
  </si>
  <si>
    <t>DocNo</t>
  </si>
  <si>
    <t>"0105858568211"</t>
  </si>
  <si>
    <t>DocIssueDate</t>
  </si>
  <si>
    <t>" "</t>
  </si>
  <si>
    <t>char</t>
  </si>
  <si>
    <t>DocExpireDate</t>
  </si>
  <si>
    <t>CisCustType</t>
  </si>
  <si>
    <t>"0601"</t>
  </si>
  <si>
    <t>CisCustName</t>
  </si>
  <si>
    <t>"บริษัทจำกัด"</t>
  </si>
  <si>
    <t>CisBizType</t>
  </si>
  <si>
    <t>"005022706"</t>
  </si>
  <si>
    <t>CisBizName</t>
  </si>
  <si>
    <t>"การค้าปลีกเครื่องมือและอุปกรณ์ทางการแพทย์รวมทั้งเครื่องใช้ปฐมพยาบาล (ยกเว้น ทันตกรรม)"</t>
  </si>
  <si>
    <t>BizDesc</t>
  </si>
  <si>
    <t>RegId</t>
  </si>
  <si>
    <t>RmName</t>
  </si>
  <si>
    <t>"น.ส. นานาวรรณก ศุภพิธXX"</t>
  </si>
  <si>
    <t>RmMobile</t>
  </si>
  <si>
    <t>"0813867187"</t>
  </si>
  <si>
    <t>RmEmail</t>
  </si>
  <si>
    <t>"sirirat.sus@kasikornbank.com"</t>
  </si>
  <si>
    <t>PsName</t>
  </si>
  <si>
    <t>PsMobile</t>
  </si>
  <si>
    <t>PsEmail</t>
  </si>
  <si>
    <t>LegalPlaceName</t>
  </si>
  <si>
    <t>LegalBoxNo</t>
  </si>
  <si>
    <t>LegalHouseNo</t>
  </si>
  <si>
    <t>LegalVillageNo</t>
  </si>
  <si>
    <t>LegalVillage</t>
  </si>
  <si>
    <t>LegalBuildingName</t>
  </si>
  <si>
    <t>"68-63"</t>
  </si>
  <si>
    <t>LegalRoomNo</t>
  </si>
  <si>
    <t>"."</t>
  </si>
  <si>
    <t>LegalFloorNo</t>
  </si>
  <si>
    <t>LegalAlley</t>
  </si>
  <si>
    <t>LegalStreetName</t>
  </si>
  <si>
    <t>LegalTambolDesc</t>
  </si>
  <si>
    <t>LegalAmphurDesc</t>
  </si>
  <si>
    <t>LegalProvinceDesc</t>
  </si>
  <si>
    <t>LegalPostal</t>
  </si>
  <si>
    <t>LegalCountry</t>
  </si>
  <si>
    <t>LegalAddr1</t>
  </si>
  <si>
    <t>"ตานาว 5"</t>
  </si>
  <si>
    <t>LegalAddr2</t>
  </si>
  <si>
    <t>"วาลยำเฬิฬชษาป"</t>
  </si>
  <si>
    <t>MailingPlaceName</t>
  </si>
  <si>
    <t>"วัดบวรนิเวศ"</t>
  </si>
  <si>
    <t>MailingBoxNo</t>
  </si>
  <si>
    <t>"พระนคร"</t>
  </si>
  <si>
    <t>MailingHouseNo</t>
  </si>
  <si>
    <t>"กทม."</t>
  </si>
  <si>
    <t>MailingVillageNo</t>
  </si>
  <si>
    <t>"10200"</t>
  </si>
  <si>
    <t>MailingVillage</t>
  </si>
  <si>
    <t>"TH"</t>
  </si>
  <si>
    <t>MailingBuildingName</t>
  </si>
  <si>
    <t>"68-63 ค.ตานาว 5 ฃ.วาลยำเฬิฬชษาป ฮ.ฤัยฅฤวฬิเฤฌ"</t>
  </si>
  <si>
    <t>MailingRoomNo</t>
  </si>
  <si>
    <t>"อ.พระนคร จ.กทม. 10200"</t>
  </si>
  <si>
    <t>MailingFloorNo</t>
  </si>
  <si>
    <t>MailingAlley</t>
  </si>
  <si>
    <t>MailingStreetName</t>
  </si>
  <si>
    <t>MailingTambolDesc</t>
  </si>
  <si>
    <t>MailingAmphurDesc</t>
  </si>
  <si>
    <t>MailingProvinceDesc</t>
  </si>
  <si>
    <t>MailingPostal</t>
  </si>
  <si>
    <t>MailingCountry</t>
  </si>
  <si>
    <t>MailingAddr1</t>
  </si>
  <si>
    <t>MailingAddr2</t>
  </si>
  <si>
    <t>OfficePlaceName</t>
  </si>
  <si>
    <t>OfficeBoxNo</t>
  </si>
  <si>
    <t>OfficeHouseNo</t>
  </si>
  <si>
    <t>OfficeVillageNo</t>
  </si>
  <si>
    <t>OfficeVillage</t>
  </si>
  <si>
    <t>OfficeBuildingName</t>
  </si>
  <si>
    <t>OfficeRoomNo</t>
  </si>
  <si>
    <t>OfficeFloorNo</t>
  </si>
  <si>
    <t>OfficeAlley</t>
  </si>
  <si>
    <t>OfficeStreetName</t>
  </si>
  <si>
    <t>OfficeTambolDesc</t>
  </si>
  <si>
    <t>OfficeAmphurDesc</t>
  </si>
  <si>
    <t>OfficeProvinceDesc</t>
  </si>
  <si>
    <t>OfficePostal</t>
  </si>
  <si>
    <t>OfficeCountry</t>
  </si>
  <si>
    <t>OfficeAddr1</t>
  </si>
  <si>
    <t>OfficeAddr2</t>
  </si>
  <si>
    <t>Tel</t>
  </si>
  <si>
    <t>TelExt</t>
  </si>
  <si>
    <t>Fax</t>
  </si>
  <si>
    <t>MobilePhone</t>
  </si>
  <si>
    <t>Email</t>
  </si>
  <si>
    <t>WebSite</t>
  </si>
  <si>
    <t>Nationality</t>
  </si>
  <si>
    <t>CompType</t>
  </si>
  <si>
    <t>HolidayCode</t>
  </si>
  <si>
    <t>ContactPerson</t>
  </si>
  <si>
    <t>ContactMobile</t>
  </si>
  <si>
    <t>ContactTel</t>
  </si>
  <si>
    <t>ContactTelExt</t>
  </si>
  <si>
    <t>ContactEmail</t>
  </si>
  <si>
    <t>ContactFax</t>
  </si>
  <si>
    <t>ContactRemarks</t>
  </si>
  <si>
    <t>UpdateBy</t>
  </si>
  <si>
    <t>UpdateDate</t>
  </si>
  <si>
    <t>UpdateTime</t>
  </si>
  <si>
    <t>Version</t>
  </si>
  <si>
    <t>int</t>
  </si>
  <si>
    <t>Residence</t>
  </si>
  <si>
    <t>CreateBy</t>
  </si>
  <si>
    <t>CreateDate</t>
  </si>
  <si>
    <t>CreateTime</t>
  </si>
  <si>
    <t>ColPlanningRem</t>
  </si>
  <si>
    <t>MaxSubLM</t>
  </si>
  <si>
    <t>numeric</t>
  </si>
  <si>
    <t>18,2</t>
  </si>
  <si>
    <t>DocRemarks</t>
  </si>
  <si>
    <t>CustSegment</t>
  </si>
  <si>
    <t>BirthDate</t>
  </si>
  <si>
    <t>CustTypeCode</t>
  </si>
  <si>
    <t>ProspectFlag</t>
  </si>
  <si>
    <t>DocGovtIssue</t>
  </si>
  <si>
    <t>KBankID</t>
  </si>
  <si>
    <t>"KB000000"</t>
  </si>
  <si>
    <t>Branch</t>
  </si>
  <si>
    <t>"สำนักงานใหญ่"</t>
  </si>
  <si>
    <t>RmID</t>
  </si>
  <si>
    <t>"440759"</t>
  </si>
  <si>
    <t>Field From Query</t>
  </si>
  <si>
    <t>orgcode</t>
  </si>
  <si>
    <t>cisno</t>
  </si>
  <si>
    <t>nameth</t>
  </si>
  <si>
    <t>nameen</t>
  </si>
  <si>
    <t>thtitle</t>
  </si>
  <si>
    <t>thfirstname</t>
  </si>
  <si>
    <t>thsurname</t>
  </si>
  <si>
    <t>thmiddlename</t>
  </si>
  <si>
    <t>entitle</t>
  </si>
  <si>
    <t>enfirstname</t>
  </si>
  <si>
    <t>ensurname</t>
  </si>
  <si>
    <t>enmiddlename</t>
  </si>
  <si>
    <t>riskrate</t>
  </si>
  <si>
    <t>doctype</t>
  </si>
  <si>
    <t>docno</t>
  </si>
  <si>
    <t>docissuedate</t>
  </si>
  <si>
    <t>docexpiredate</t>
  </si>
  <si>
    <t>ciscusttype</t>
  </si>
  <si>
    <t>ciscustname</t>
  </si>
  <si>
    <t>cisbiztype</t>
  </si>
  <si>
    <t>cisbizname</t>
  </si>
  <si>
    <t>bizdesc</t>
  </si>
  <si>
    <t>regid</t>
  </si>
  <si>
    <t>rmname</t>
  </si>
  <si>
    <t>rmmobile</t>
  </si>
  <si>
    <t>rmemail</t>
  </si>
  <si>
    <t>psname</t>
  </si>
  <si>
    <t>psmobile</t>
  </si>
  <si>
    <t>psemail</t>
  </si>
  <si>
    <t>legalplacename</t>
  </si>
  <si>
    <t>legalboxno</t>
  </si>
  <si>
    <t>legalhouseno</t>
  </si>
  <si>
    <t>legalvillageno</t>
  </si>
  <si>
    <t>legalvillage</t>
  </si>
  <si>
    <t>legalbuildingname</t>
  </si>
  <si>
    <t>legalroomno</t>
  </si>
  <si>
    <t>legalfloorno</t>
  </si>
  <si>
    <t>legalalley</t>
  </si>
  <si>
    <t>legalstreetname</t>
  </si>
  <si>
    <t>legaltamboldesc</t>
  </si>
  <si>
    <t>legalamphurdesc</t>
  </si>
  <si>
    <t>legalprovincedesc</t>
  </si>
  <si>
    <t>legalpostal</t>
  </si>
  <si>
    <t>legalcountry</t>
  </si>
  <si>
    <t>legaladdr1</t>
  </si>
  <si>
    <t>legaladdr2</t>
  </si>
  <si>
    <t>mailingplacename</t>
  </si>
  <si>
    <t>mailingboxno</t>
  </si>
  <si>
    <t>mailinghouseno</t>
  </si>
  <si>
    <t>mailingvillageno</t>
  </si>
  <si>
    <t>mailingvillage</t>
  </si>
  <si>
    <t>mailingbuildingname</t>
  </si>
  <si>
    <t>mailingroomno</t>
  </si>
  <si>
    <t>mailingfloorno</t>
  </si>
  <si>
    <t>mailingalley</t>
  </si>
  <si>
    <t>mailingstreetname</t>
  </si>
  <si>
    <t>mailingtamboldesc</t>
  </si>
  <si>
    <t>mailingamphurdesc</t>
  </si>
  <si>
    <t>mailingprovincedesc</t>
  </si>
  <si>
    <t>mailingpostal</t>
  </si>
  <si>
    <t>mailingcountry</t>
  </si>
  <si>
    <t>mailingaddr1</t>
  </si>
  <si>
    <t>mailingaddr2</t>
  </si>
  <si>
    <t>officeplacename</t>
  </si>
  <si>
    <t>officeboxno</t>
  </si>
  <si>
    <t>officehouseno</t>
  </si>
  <si>
    <t>officevillageno</t>
  </si>
  <si>
    <t>officevillage</t>
  </si>
  <si>
    <t>officebuildingname</t>
  </si>
  <si>
    <t>officeroomno</t>
  </si>
  <si>
    <t>officefloorno</t>
  </si>
  <si>
    <t>officealley</t>
  </si>
  <si>
    <t>officestreetname</t>
  </si>
  <si>
    <t>officetamboldesc</t>
  </si>
  <si>
    <t>officeamphurdesc</t>
  </si>
  <si>
    <t>officeprovincedesc</t>
  </si>
  <si>
    <t>officepostal</t>
  </si>
  <si>
    <t>officecountry</t>
  </si>
  <si>
    <t>officeaddr1</t>
  </si>
  <si>
    <t>officeaddr2</t>
  </si>
  <si>
    <t>tel</t>
  </si>
  <si>
    <t>telext</t>
  </si>
  <si>
    <t>fax</t>
  </si>
  <si>
    <t>mobilephone</t>
  </si>
  <si>
    <t>email</t>
  </si>
  <si>
    <t>website</t>
  </si>
  <si>
    <t>nationality</t>
  </si>
  <si>
    <t>comptype</t>
  </si>
  <si>
    <t>holidaycode</t>
  </si>
  <si>
    <t>contactperson</t>
  </si>
  <si>
    <t>contactmobile</t>
  </si>
  <si>
    <t>contacttel</t>
  </si>
  <si>
    <t>contacttelext</t>
  </si>
  <si>
    <t>contactemail</t>
  </si>
  <si>
    <t>contactfax</t>
  </si>
  <si>
    <t>contactremarks</t>
  </si>
  <si>
    <t>updateby</t>
  </si>
  <si>
    <t>updatedate</t>
  </si>
  <si>
    <t>updatetime</t>
  </si>
  <si>
    <t>version</t>
  </si>
  <si>
    <t>residence</t>
  </si>
  <si>
    <t>createby</t>
  </si>
  <si>
    <t>createdate</t>
  </si>
  <si>
    <t>createtime</t>
  </si>
  <si>
    <t>colplanningrem</t>
  </si>
  <si>
    <t>maxsublm</t>
  </si>
  <si>
    <t>docremarks</t>
  </si>
  <si>
    <t>custsegment</t>
  </si>
  <si>
    <t>birthdate</t>
  </si>
  <si>
    <t>custtypecode</t>
  </si>
  <si>
    <t>prospectflag</t>
  </si>
  <si>
    <t>docgovtissue</t>
  </si>
  <si>
    <t>kbankid</t>
  </si>
  <si>
    <t>branch</t>
  </si>
  <si>
    <t>rmid</t>
  </si>
  <si>
    <t>Field From CBR</t>
  </si>
  <si>
    <t>Columns Field from query</t>
  </si>
  <si>
    <t>Columns Field from CBR</t>
  </si>
  <si>
    <t>"บจก. ณรกฤต"</t>
  </si>
  <si>
    <t>"BATCHUPDATE"</t>
  </si>
  <si>
    <t>"2023-10-18"</t>
  </si>
  <si>
    <t>"Y"</t>
  </si>
  <si>
    <t>"2020-02-15"</t>
  </si>
  <si>
    <t>"05:16:03"</t>
  </si>
  <si>
    <t>"DUEตามนัด"</t>
  </si>
  <si>
    <t>"UM"</t>
  </si>
  <si>
    <t>"1943-02-05"</t>
  </si>
  <si>
    <t>"O"</t>
  </si>
  <si>
    <t>"C"</t>
  </si>
  <si>
    <t>"0000138286"</t>
  </si>
  <si>
    <t xml:space="preserve">Record Count In Database </t>
  </si>
  <si>
    <t>POS_DT</t>
  </si>
  <si>
    <t>Reference</t>
  </si>
  <si>
    <t>CTL File</t>
  </si>
  <si>
    <t>Database</t>
  </si>
  <si>
    <t>Table</t>
  </si>
  <si>
    <t>No.</t>
  </si>
  <si>
    <t>Case 1 : The count of records refers to the number of records that match between querying a table and a file, including both data and control files.</t>
  </si>
  <si>
    <t>Case 3 :Data type: string. For instance, in cases where a long decimal is pulled out as text, additional handling and formatting are required.</t>
  </si>
  <si>
    <t>"0.00"</t>
  </si>
  <si>
    <t>"09:50:32 "</t>
  </si>
  <si>
    <t>"5"</t>
  </si>
  <si>
    <t>Match</t>
  </si>
  <si>
    <t>Case 2: Ensure that the number of columns matches with the CBR.</t>
  </si>
  <si>
    <t>Case 4 :Data correctness: Ensure that the data extracted from the file matches the data in the table.</t>
  </si>
  <si>
    <t>Case 1</t>
  </si>
  <si>
    <t>Case2</t>
  </si>
  <si>
    <t>Case3</t>
  </si>
  <si>
    <t>Case4</t>
  </si>
  <si>
    <t>STATUS</t>
  </si>
  <si>
    <t>Record Count In File</t>
  </si>
  <si>
    <t>SELECT orgcode, cisno, nameth, nameen, thtitle, thfirstname, thsurname, thmiddlename, entitle, enfirstname, ensurname, enmiddlename, riskrate, doctype, docno, docissuedate, docexpiredate, ciscusttype, ciscustname, cisbiztype, cisbizname, bizdesc, regid, rmname, rmmobile, rmemail, psname, psmobile, psemail, legalplacename, legalboxno, legalhouseno, legalvillageno, legalvillage, legalbuildingname, legalroomno, legalfloorno, legalalley, legalstreetname, legaltamboldesc, legalamphurdesc, legalprovincedesc, legalpostal, legalcountry, legaladdr1, legaladdr2, mailingplacename, mailingboxno, mailinghouseno, mailingvillageno, mailingvillage, mailingbuildingname, mailingroomno, mailingfloorno, mailingalley, mailingstreetname, mailingtamboldesc, mailingamphurdesc, mailingprovincedesc, mailingpostal, mailingcountry, mailingaddr1, mailingaddr2, officeplacename, officeboxno, officehouseno, officevillageno, officevillage, officebuildingname, officeroomno, officefloorno, officealley, officestreetname, officetamboldesc, officeamphurdesc, officeprovincedesc, officepostal, officecountry, officeaddr1, officeaddr2, tel, telext, fax, mobilephone, email, website, nationality, comptype, holidaycode, contactperson, contactmobile, contacttel, contacttelext, contactemail, contactfax, contactremarks, updateby, updatedate, updatetime, version, residence, createby, createdate, createtime, colplanningrem, maxsublm, docremarks, custsegment, birthdate, custtypecode, prospectflag, docgovtissue, kbankid, branch, rmid FROM V_CIS</t>
  </si>
  <si>
    <t>"61"</t>
  </si>
  <si>
    <t>"10110"</t>
  </si>
  <si>
    <t>"61 ค.ฒุดุฏฤิอ14 ฃ.ฒุดุฏฤิอ ฮ.หวะโดฬปเบฬืต"</t>
  </si>
  <si>
    <t>"027240728-1"</t>
  </si>
  <si>
    <t>"001       "</t>
  </si>
  <si>
    <t>"09:50:32  "</t>
  </si>
  <si>
    <t>"0000000013"</t>
  </si>
  <si>
    <t>"0105147565174"</t>
  </si>
  <si>
    <t>"103100202"</t>
  </si>
  <si>
    <t>"111"</t>
  </si>
  <si>
    <t>"10120"</t>
  </si>
  <si>
    <t>"111 ฃ.ฃฬฬหวะวาฏ 8 ฮ.ฅาปโหปหาป"</t>
  </si>
  <si>
    <t>"111 ฃ. หวะวาฏ 8 ฮ. ฅาปโหปหาป"</t>
  </si>
  <si>
    <t>"111 ฃ.หวะวาฏ 8 ฮ.ฅาปโหปหาป"</t>
  </si>
  <si>
    <t>"022067786"</t>
  </si>
  <si>
    <t>"022069405"</t>
  </si>
  <si>
    <t>"09:34:01  "</t>
  </si>
  <si>
    <t>"1967-12-01"</t>
  </si>
  <si>
    <t>"0003210644"</t>
  </si>
  <si>
    <t>"0000000015"</t>
  </si>
  <si>
    <t>"0105194567285"</t>
  </si>
  <si>
    <t>"005021105"</t>
  </si>
  <si>
    <t>"0875431726"</t>
  </si>
  <si>
    <t>"980-982"</t>
  </si>
  <si>
    <t>"95"</t>
  </si>
  <si>
    <t>"10330"</t>
  </si>
  <si>
    <t>"980-982 ตน.ฒิฬณว อาฤเฤตว์ 8 ลั้ฬ95 ฃ.ฤิอฟุ"</t>
  </si>
  <si>
    <t>"022394312"</t>
  </si>
  <si>
    <t>"09:51:06  "</t>
  </si>
  <si>
    <t>"1980-06-24"</t>
  </si>
  <si>
    <t>"0009033289"</t>
  </si>
  <si>
    <t>"710984"</t>
  </si>
  <si>
    <t>"0000000016"</t>
  </si>
  <si>
    <t>"0107191566476"</t>
  </si>
  <si>
    <t>"0608"</t>
  </si>
  <si>
    <t>"105011301"</t>
  </si>
  <si>
    <t>"855"</t>
  </si>
  <si>
    <t>"10400"</t>
  </si>
  <si>
    <t>"855 ตานาวเตฒ หี ลั้ฬ 1 ฃฬฬหบษโฟณิฬ"</t>
  </si>
  <si>
    <t>"3-1"</t>
  </si>
  <si>
    <t>"855 ตน.เตฒหี ลั้ฬ3-1 ฃ.หบษโฟณิฬ ฮ.ฒาฏเฒฬใฬ"</t>
  </si>
  <si>
    <t>"026900368"</t>
  </si>
  <si>
    <t>"022597037"</t>
  </si>
  <si>
    <t>"1994-05-20"</t>
  </si>
  <si>
    <t>"0009599829"</t>
  </si>
  <si>
    <t>"0000000020"</t>
  </si>
  <si>
    <t>"0105190597520"</t>
  </si>
  <si>
    <t>"0923261335"</t>
  </si>
  <si>
    <t>"3"</t>
  </si>
  <si>
    <t>"73130"</t>
  </si>
  <si>
    <t>"95 ฏ.3 ฃ.ฒุลาฮิหัสฬา ฮ.ฅาปไอวผ่า"</t>
  </si>
  <si>
    <t>"034670534"</t>
  </si>
  <si>
    <t>"9"</t>
  </si>
  <si>
    <t>"10:27:40  "</t>
  </si>
  <si>
    <t>"1988-09-20"</t>
  </si>
  <si>
    <t>"0003772558"</t>
  </si>
  <si>
    <t>"530017"</t>
  </si>
  <si>
    <t>"0000000026"</t>
  </si>
  <si>
    <t>"2"</t>
  </si>
  <si>
    <t>"0105148568495"</t>
  </si>
  <si>
    <t>"003040102"</t>
  </si>
  <si>
    <t>"0617136630"</t>
  </si>
  <si>
    <t>"9921/9"</t>
  </si>
  <si>
    <t>"9921/9 ฃ.เหลวฅุวีฮัยใบฏ่ ฮ.ฏัชชะฒัฬ"</t>
  </si>
  <si>
    <t>"022122890"</t>
  </si>
  <si>
    <t>"1973-01-19"</t>
  </si>
  <si>
    <t>"0003772486"</t>
  </si>
  <si>
    <t>"709888"</t>
  </si>
  <si>
    <t>"0000000029"</t>
  </si>
  <si>
    <t>"0107198566676"</t>
  </si>
  <si>
    <t>"003040302"</t>
  </si>
  <si>
    <t>"205"</t>
  </si>
  <si>
    <t>"10280"</t>
  </si>
  <si>
    <t>"205 ฏ.1 ฃ.อ้าฟฅ้าฬ ฮ.อ้าฟฅ้าฬ"</t>
  </si>
  <si>
    <t>"027499257"</t>
  </si>
  <si>
    <t>"09:46:35  "</t>
  </si>
  <si>
    <t>"1993-10-21"</t>
  </si>
  <si>
    <t>"0003773005"</t>
  </si>
  <si>
    <t>"0000000031"</t>
  </si>
  <si>
    <t>"0105165536601"</t>
  </si>
  <si>
    <t>"004020900"</t>
  </si>
  <si>
    <t>"83"</t>
  </si>
  <si>
    <t>"10150"</t>
  </si>
  <si>
    <t>"83 ค.หุอณฅูลา93 ฃ.หุอณฅูลา ฮ.ฅาปฏย"</t>
  </si>
  <si>
    <t>"83 ค.หุอณฅูลา 93 ฃ.หุอณฅูลา ฮ.ฅาปฏย"</t>
  </si>
  <si>
    <t>"024958398"</t>
  </si>
  <si>
    <t>"024950043"</t>
  </si>
  <si>
    <t>"0805365829"</t>
  </si>
  <si>
    <t>"2021-10-15"</t>
  </si>
  <si>
    <t>"05:21:00  "</t>
  </si>
  <si>
    <t>"2006-01-25"</t>
  </si>
  <si>
    <t>"0001065266"</t>
  </si>
  <si>
    <t>"0000000034"</t>
  </si>
  <si>
    <t>"0105142567101"</t>
  </si>
  <si>
    <t>"005010101"</t>
  </si>
  <si>
    <t>"901"</t>
  </si>
  <si>
    <t>"6"</t>
  </si>
  <si>
    <t>"10520"</t>
  </si>
  <si>
    <t>"901 ฬินฏตุฮฒาบชววฏษายชวะฅัป ฃ.พษตปชวุป ษำผษาอิฤ"</t>
  </si>
  <si>
    <t>"027021068"</t>
  </si>
  <si>
    <t>"10:29:12  "</t>
  </si>
  <si>
    <t>"1970-09-08"</t>
  </si>
  <si>
    <t>"0000135039"</t>
  </si>
  <si>
    <t>"บจก. ณรกฤต  "</t>
  </si>
  <si>
    <t>"          "</t>
  </si>
  <si>
    <t>"ฒุดุฏฤิอ14"</t>
  </si>
  <si>
    <t>"ฒุดุฏฤิอ"</t>
  </si>
  <si>
    <t>"พระโขนงเหนือ"</t>
  </si>
  <si>
    <t>"วัฒนา"</t>
  </si>
  <si>
    <t>"อ.วัฒนา จ.กทม. 10110"</t>
  </si>
  <si>
    <t>"sjkarjzu@pzcxx.rxo"</t>
  </si>
  <si>
    <t>"aก@a.com"</t>
  </si>
  <si>
    <t>"Customer"</t>
  </si>
  <si>
    <t>"บจก. อับโดเล๊าะ  "</t>
  </si>
  <si>
    <t>"ABDOLOH CO.,LTD."</t>
  </si>
  <si>
    <t>"อับโดเล๊าะ"</t>
  </si>
  <si>
    <t>"ABDOLOH"</t>
  </si>
  <si>
    <t>"(นำเข้า) การผลิตเคมีภัณฑ์ที่ใช้สำหรับรักษาความสะอาด"</t>
  </si>
  <si>
    <t>"ฃฬฬหวะวาฏ 8"</t>
  </si>
  <si>
    <t>"บางโพงพาง"</t>
  </si>
  <si>
    <t>"ยานนาวา"</t>
  </si>
  <si>
    <t>"อ.ยานนาวา จ.กทม. 10120"</t>
  </si>
  <si>
    <t>"หวะวาฏ 8"</t>
  </si>
  <si>
    <t>"อ. ยานนาวา จ. กทม. 10120"</t>
  </si>
  <si>
    <t>"35"</t>
  </si>
  <si>
    <t>"ศ.3"</t>
  </si>
  <si>
    <t>"49800000.00"</t>
  </si>
  <si>
    <t>"MB"</t>
  </si>
  <si>
    <t>"- สำนักงานใหญ่"</t>
  </si>
  <si>
    <t>"บจก. รักษาไชย  "</t>
  </si>
  <si>
    <t>"RAKSACHAI CO.,LTD."</t>
  </si>
  <si>
    <t>"รักษาไชย"</t>
  </si>
  <si>
    <t>"RAKSACHAI"</t>
  </si>
  <si>
    <t>"การค้าปลีกผลิตภัณฑ์เนื้อสัตว์อื่น และอาหารแช่แข็งสำเร็จรูป"</t>
  </si>
  <si>
    <t>"น.ส. พุ่มเ บุญญเกีย"</t>
  </si>
  <si>
    <t>"hatsaya.s@kasikornbank.com"</t>
  </si>
  <si>
    <t>"ฒิฬณว อาฤเฤตว์ 8"</t>
  </si>
  <si>
    <t>"ฤิอฟุ"</t>
  </si>
  <si>
    <t>"ลุมพินี"</t>
  </si>
  <si>
    <t>"ปทุมวัน"</t>
  </si>
  <si>
    <t>"ลุมพินี ปทุมวัน กทม. 10330"</t>
  </si>
  <si>
    <t>"0"</t>
  </si>
  <si>
    <t>"ศ.1,ศ.3"</t>
  </si>
  <si>
    <t>"บมจ. ศรีเจษฏาพันธ์  "</t>
  </si>
  <si>
    <t>"SRIJETSADAPHAN PUBLIC CO.,LTD."</t>
  </si>
  <si>
    <t>"บมจ."</t>
  </si>
  <si>
    <t>"ศรีเจษฏาพันธ์"</t>
  </si>
  <si>
    <t>"PUBLIC CO.,LTD."</t>
  </si>
  <si>
    <t>"SRIJETSADAPHAN"</t>
  </si>
  <si>
    <t>"บริษัทมหาชน"</t>
  </si>
  <si>
    <t>"(นำเข้า) การค้าส่งนมสด นมข้น นมผง ครีม เนย ชีส นมเปรี้ยว และนมอัดเม็ด"</t>
  </si>
  <si>
    <t>"เตฒ หี"</t>
  </si>
  <si>
    <t>"หบษโฟณิฬ"</t>
  </si>
  <si>
    <t>"สามเสนใน"</t>
  </si>
  <si>
    <t>"พญาไท"</t>
  </si>
  <si>
    <t>"แขวงสามเสนใน เขตพญาไท กรุงเทพฯ 10400"</t>
  </si>
  <si>
    <t>"เตฒหี"</t>
  </si>
  <si>
    <t>"อ.พญาไท จ.กทม. 10400"</t>
  </si>
  <si>
    <t>"#4373 รับ HSBC โซนA  อังคาร                      ถามเช็ค #1240-44,#1044อาคารS.P.ชั้น5 พหลโยธิน T.02-6201900 #1-647 โอนเข้าKBANK-J        CL#2160 โอน 1/ด. (K.เปิ้ล/จัดซื้อ)"</t>
  </si>
  <si>
    <t>"50100000.00"</t>
  </si>
  <si>
    <t>"บจก. โกมลศุภกิจ  "</t>
  </si>
  <si>
    <t>"KOMOLSUPAKIJ CO.,LTD."</t>
  </si>
  <si>
    <t>"โกมลศุภกิจ"</t>
  </si>
  <si>
    <t>"KOMOLSUPAKIJ"</t>
  </si>
  <si>
    <t>"น.ส. อนันต์ช ภาระต"</t>
  </si>
  <si>
    <t>"sirinapa.bo@kasikornbank.com"</t>
  </si>
  <si>
    <t>"ฒุลาฮิหัสฬา"</t>
  </si>
  <si>
    <t>"บางไทรป่า"</t>
  </si>
  <si>
    <t>"บางเลน"</t>
  </si>
  <si>
    <t>"นครปฐม"</t>
  </si>
  <si>
    <t>"อ.บางเลน จ.นครปฐม 73130"</t>
  </si>
  <si>
    <t>"TR สิ้นเดือน"</t>
  </si>
  <si>
    <t>"P"</t>
  </si>
  <si>
    <t>"บจก. ทอมเซ่น  "</t>
  </si>
  <si>
    <t>"THOMSEN CO.,LTD."</t>
  </si>
  <si>
    <t>"ทอมเซ่น"</t>
  </si>
  <si>
    <t>"THOMSEN"</t>
  </si>
  <si>
    <t>"การผลิตอาหารเนื้อสัตว์สำเร็จบรรจุในกระป๋อง หรือ ภาชนะผนึกแน่นอย่างอื่น เช่น ถุงพลาสติก"</t>
  </si>
  <si>
    <t>"นาย กิมลิ้นX เนียร"</t>
  </si>
  <si>
    <t>"pongwut.s@kasikornbank.com"</t>
  </si>
  <si>
    <t>"เหลวฅุวีฮัยใบฏ่"</t>
  </si>
  <si>
    <t>"มักกะสัน"</t>
  </si>
  <si>
    <t>"ราชเทวี"</t>
  </si>
  <si>
    <t>"อ.ราชเทวี จ.กทม. 10400"</t>
  </si>
  <si>
    <t>"ตามนัด"</t>
  </si>
  <si>
    <t>"50000000.00"</t>
  </si>
  <si>
    <t>"กรมพัฒนาธุรกิจการค้า"</t>
  </si>
  <si>
    <t>"บมจ. รณยุทธ์  "</t>
  </si>
  <si>
    <t>"RONAYUT PUBLIC CO.,LTD."</t>
  </si>
  <si>
    <t>"รณยุทธ์"</t>
  </si>
  <si>
    <t>"RONAYUT"</t>
  </si>
  <si>
    <t>"การผลิตซอสปรุงรส และเต้าเจี้ยว"</t>
  </si>
  <si>
    <t>"อ้าฟฅ้าฬ"</t>
  </si>
  <si>
    <t>"ท้ายบ้าน"</t>
  </si>
  <si>
    <t>"เมือง"</t>
  </si>
  <si>
    <t>"สมุทรปราการ"</t>
  </si>
  <si>
    <t>"อ.เมือง จ.สมุทรปราการ 10280"</t>
  </si>
  <si>
    <t>"TR ตามนัด"</t>
  </si>
  <si>
    <t>"14890000.00"</t>
  </si>
  <si>
    <t>"CB"</t>
  </si>
  <si>
    <t>"บจก. จู่จ่าย  "</t>
  </si>
  <si>
    <t>"JOOJAY CO.,LTD."</t>
  </si>
  <si>
    <t>"จู่จ่าย"</t>
  </si>
  <si>
    <t>"JOOJAY"</t>
  </si>
  <si>
    <t>"การติดตั้งระบบสื่อสารและให้กับผู้ประกอบการโทรคมนาคม เช่น ติดตั้งเสาสัญญาณโทรศัพท์"</t>
  </si>
  <si>
    <t>"หุอณฅูลา93"</t>
  </si>
  <si>
    <t>"หุอณฅูลา"</t>
  </si>
  <si>
    <t>"บางมด"</t>
  </si>
  <si>
    <t>"จอมทอง"</t>
  </si>
  <si>
    <t>"อ.จอมทอง จ.กทม. 10150"</t>
  </si>
  <si>
    <t>"หุอณฅูลา 93"</t>
  </si>
  <si>
    <t>"บจก. พี เทคไลน์"</t>
  </si>
  <si>
    <t>"qnmarndfm@wozni.rxo"</t>
  </si>
  <si>
    <t>"HSBC-พระราม3 02-232-4999 โซนA"</t>
  </si>
  <si>
    <t>"SM"</t>
  </si>
  <si>
    <t>"บจก. ณัฏฐชยธร  "</t>
  </si>
  <si>
    <t>"NATCHYATHON CO.,LTD."</t>
  </si>
  <si>
    <t>"ณัฏฐชยธร"</t>
  </si>
  <si>
    <t>"NATCHYATHON"</t>
  </si>
  <si>
    <t>"การขายส่งสินค้าหลายชนิด ที่มีมูลค่าของการขายสินค้าแต่ละชนิดน้อยกว่าร้อยละ 50 ของมูลค่าการขายทั้งหมด เช่น ยี่ปั๊ว ซาปั๊ว หรือตัวแทนจำหน่ายสินค้าหลายชนิด"</t>
  </si>
  <si>
    <t>"บจก.จอห์นสัน แอนด์ จอห์นสัน (ไทย)"</t>
  </si>
  <si>
    <t>"ฬินฏตุฮฒาบชววฏษายชวะฅัป"</t>
  </si>
  <si>
    <t>"พษตปชวุป"</t>
  </si>
  <si>
    <t>"ลำปลาทิว"</t>
  </si>
  <si>
    <t>"ลาดกระบัง"</t>
  </si>
  <si>
    <t>"ลาดกระบัง กทม. 10520"</t>
  </si>
  <si>
    <t>"BJFEIYZJ@VNMBC.TDT.RXO"</t>
  </si>
  <si>
    <t>"รับเช็ค CTB อาคารวรวัฒน์ ชั้นใต้ดิน 02-079-3356 CL#2786 ออย,สมศรี(บ/ช) 02-725-3000       25  OFF.K.โอ๋ T. 0-2539-0999.เบ็นท์ต่อ302        CL#2037 รับเช็ค 15/ด.(CTB อ.ไทยซีซี)"</t>
  </si>
  <si>
    <t>"0000000040"</t>
  </si>
  <si>
    <t>"บมจ. ต้อยอด  "</t>
  </si>
  <si>
    <t>"TOAYOD PUBLIC CO.,LTD."</t>
  </si>
  <si>
    <t>"ต้อยอด"</t>
  </si>
  <si>
    <t>"TOAYOD"</t>
  </si>
  <si>
    <t>"0107191568771"</t>
  </si>
  <si>
    <t>"002029902"</t>
  </si>
  <si>
    <t>"การทำเหมืองหินปูน"</t>
  </si>
  <si>
    <t>"21/31"</t>
  </si>
  <si>
    <t>"ฉัฬอฬ์ฮัยใบฏ่"</t>
  </si>
  <si>
    <t>"ทุ่งมหาเมฆ"</t>
  </si>
  <si>
    <t>"สาทร"</t>
  </si>
  <si>
    <t>"21/31 ฃ. ฉัฬอฬ์ฮัยใบฏ่ แดฤปอุ่ปฏบาเฏธ"</t>
  </si>
  <si>
    <t>"เขตสาทร กทม. 10120"</t>
  </si>
  <si>
    <t>"022290572"</t>
  </si>
  <si>
    <t>"022290575"</t>
  </si>
  <si>
    <t>"0500002257"</t>
  </si>
  <si>
    <t>"SIRIWAT.P@KBTG.TECH"</t>
  </si>
  <si>
    <t>"10:07:53  "</t>
  </si>
  <si>
    <t>"ศ 1/3(10-11.30,13.30-16.) รับกทมถามเช้า2855090#2852*2692*2628*2831 ,รับสระบุรี#2180 036358999 Kศิริวรรณ#2831"</t>
  </si>
  <si>
    <t>"1994-02-17"</t>
  </si>
  <si>
    <t>"0000023452"</t>
  </si>
  <si>
    <t>SAMPLE CASE</t>
  </si>
  <si>
    <t>"0000000041"</t>
  </si>
  <si>
    <t>"บมจ. แซ่โช  "</t>
  </si>
  <si>
    <t>"SAECHO PUBLIC CO.,LTD."</t>
  </si>
  <si>
    <t>"แซ่โช"</t>
  </si>
  <si>
    <t>"SAECHO"</t>
  </si>
  <si>
    <t>"0107198568652"</t>
  </si>
  <si>
    <t>"003100209"</t>
  </si>
  <si>
    <t>"การผลิตปุ๋ย"</t>
  </si>
  <si>
    <t>"29/83-61"</t>
  </si>
  <si>
    <t>"ไอฟฤา 9"</t>
  </si>
  <si>
    <t>"96-91"</t>
  </si>
  <si>
    <t>"ฒาอวใฮ้"</t>
  </si>
  <si>
    <t>"29/83-61 ตน.ไอฟฤา 9 ลั้ฬ96-91 ฃ.ฒาอวใฮ้"</t>
  </si>
  <si>
    <t>"ทุ่งมหาเมฆ สาทร กทม. 10120"</t>
  </si>
  <si>
    <t>"บริษัท ไทยเซ็นทรัลเคมี จำกัด (มหาชน)"</t>
  </si>
  <si>
    <t>"022987775"</t>
  </si>
  <si>
    <t>"026673386"</t>
  </si>
  <si>
    <t>"0500000168"</t>
  </si>
  <si>
    <t>"KACDF@BCZNRSDBAZI.RX.BC"</t>
  </si>
  <si>
    <t>"#34-2600 รับเช็คอ.ไทยวา1 ชั้น 15 ใช้BNC .สาทรใต้ #3229 KB-พัฒน์พงษ์02-8888822.กด1กด2กด8กด1"</t>
  </si>
  <si>
    <t>"60000000.00"</t>
  </si>
  <si>
    <t>"1993-04-28"</t>
  </si>
  <si>
    <t>"0000023779"</t>
  </si>
  <si>
    <t>"0000000043"</t>
  </si>
  <si>
    <t>"บจก. ตั้งกิจกุลโสภา  "</t>
  </si>
  <si>
    <t>"TANGKIJKULSOPA CO.,LTD."</t>
  </si>
  <si>
    <t>"ตั้งกิจกุลโสภา"</t>
  </si>
  <si>
    <t>"TANGKIJKULSOPA"</t>
  </si>
  <si>
    <t>"0105145568818"</t>
  </si>
  <si>
    <t>"003100302"</t>
  </si>
  <si>
    <t>"การผลิต วิตามิน ยาบำรุง"</t>
  </si>
  <si>
    <t>"บจก.ไทยนครพัฒนา"</t>
  </si>
  <si>
    <t>"96"</t>
  </si>
  <si>
    <t>"ปาฏฤปฌ์ฤาฬ 5"</t>
  </si>
  <si>
    <t>"ปาฏฤปฌ์ฤาฬ"</t>
  </si>
  <si>
    <t>"บางเขน"</t>
  </si>
  <si>
    <t>"นนทบุรี"</t>
  </si>
  <si>
    <t>"11000"</t>
  </si>
  <si>
    <t>"96 ค.ปาฏฤปฌ์ฤาฬ 5 ฃ.ปาฏฤปฌ์ฤาฬ ฮ.ฅาปเดฬ"</t>
  </si>
  <si>
    <t>"อ.เมือง จ.นนทบุรี 11000"</t>
  </si>
  <si>
    <t>"025185382"</t>
  </si>
  <si>
    <t>"1334"</t>
  </si>
  <si>
    <t>"025774812"</t>
  </si>
  <si>
    <t>"025774516"</t>
  </si>
  <si>
    <t>"KRJDJAA_JHXDF5@BCZNDZLXAD.RXO"</t>
  </si>
  <si>
    <t>"1976-01-06"</t>
  </si>
  <si>
    <t>"0001998565"</t>
  </si>
  <si>
    <t>"0000000045"</t>
  </si>
  <si>
    <t>"บจก. บัวลม  "</t>
  </si>
  <si>
    <t>"BUALOM CO.,LTD."</t>
  </si>
  <si>
    <t>"บัวลม"</t>
  </si>
  <si>
    <t>"BUALOM"</t>
  </si>
  <si>
    <t>"0105101563624"</t>
  </si>
  <si>
    <t>"003100203"</t>
  </si>
  <si>
    <t>"การผลิตน้ำหอม สบู่ เครื่องสำอาง แชมพู และเครื่องหอมอื่น ๆ"</t>
  </si>
  <si>
    <t>"นาง ชาณุพ หาบุตรXXXXXXXXX"</t>
  </si>
  <si>
    <t>"0813865651"</t>
  </si>
  <si>
    <t>"anong.su@kasikornbank.com"</t>
  </si>
  <si>
    <t>"บจก.คาโออินดัสเตรียล (ประเทศไทย)"</t>
  </si>
  <si>
    <t>"700/898"</t>
  </si>
  <si>
    <t>"ฬินฏตุฮฒาบชววฏตฏฮะคิฮี้ ลษฅุวี"</t>
  </si>
  <si>
    <t>"ดอนหัวฬ่อ"</t>
  </si>
  <si>
    <t>"ชลบุรี"</t>
  </si>
  <si>
    <t>"20000"</t>
  </si>
  <si>
    <t>"700/898 ฏ.1 ตน.ฬินฏตุฮฒาบชววฏตฏฮะคิฮี้ ลษฅุวี"</t>
  </si>
  <si>
    <t>"ดอนหัวฬ่อ เมือง ชลบุรี 20000"</t>
  </si>
  <si>
    <t>"33"</t>
  </si>
  <si>
    <t>"เฤงเหษฒ"</t>
  </si>
  <si>
    <t>"93"</t>
  </si>
  <si>
    <t>"33 ตน.เฤงเหษฒ ลั้ฬ93 ฃ.ฤิอฟุ ฮ.ษุฏหิฬี"</t>
  </si>
  <si>
    <t>"อ.ปทุมวัน จ.กทม. 10330"</t>
  </si>
  <si>
    <t>"026189245#193"</t>
  </si>
  <si>
    <t>"026554545"</t>
  </si>
  <si>
    <t>"opal.r@kbtg.tech"</t>
  </si>
  <si>
    <t>"10:26:36  "</t>
  </si>
  <si>
    <t>"12"</t>
  </si>
  <si>
    <t>"CTB-SV ซิตี้พระราม  3 02-0289064 OFFICE พรทิพย์                   ถ้ารับไม่ทันตามนัด รับได้อีกทีจันทร์ที่2    ของเดือนถัดไป 6554455 ต่อ413 K.ศิรินุช"</t>
  </si>
  <si>
    <t>"1964-09-24"</t>
  </si>
  <si>
    <t>"0001610717"</t>
  </si>
  <si>
    <t>"- สาขา 00001"</t>
  </si>
  <si>
    <t>"358229"</t>
  </si>
  <si>
    <t>"0000000049"</t>
  </si>
  <si>
    <t>"บจก. สันดงนิวาส ข่าฮุ้ง  "</t>
  </si>
  <si>
    <t>"SANDONGNIWAS KHAHUNG CO.,LTD."</t>
  </si>
  <si>
    <t>"สันดงนิวาส ข่าฮุ้ง"</t>
  </si>
  <si>
    <t>"SANDONGNIWAS KHAHUNG"</t>
  </si>
  <si>
    <t>"0105102568743"</t>
  </si>
  <si>
    <t>"003049901"</t>
  </si>
  <si>
    <t>"การผลิตผงชูรส"</t>
  </si>
  <si>
    <t>"นาย โจนีXXX ลี้สกุลXXXXXXXXX"</t>
  </si>
  <si>
    <t>"08 1386 7921"</t>
  </si>
  <si>
    <t>"nutthavuthi.r@kasikornbank.com"</t>
  </si>
  <si>
    <t>"657/9"</t>
  </si>
  <si>
    <t>"ฌวีตฟุณฟา"</t>
  </si>
  <si>
    <t>"ถนนพญาไท"</t>
  </si>
  <si>
    <t>"657/9 ฃ.ฌวีตฟุณฟา ฮ.ฃฬฬหฎาไอ"</t>
  </si>
  <si>
    <t>"บจก.อายิโนะโมะโต๊ะ"</t>
  </si>
  <si>
    <t>"657/9 ตน.ฌวีตฟุณฟา ฮ.ฃฬฬหฎาไอ"</t>
  </si>
  <si>
    <t>"บจก.อายิโนะโมะโต๊ะ (ประเทศไทย)"</t>
  </si>
  <si>
    <t>"814"</t>
  </si>
  <si>
    <t>"8"</t>
  </si>
  <si>
    <t>"คณฑี"</t>
  </si>
  <si>
    <t>"กำแพงเพชร"</t>
  </si>
  <si>
    <t>"62000"</t>
  </si>
  <si>
    <t>"814 ฏ.8 ฮ.นญถี"</t>
  </si>
  <si>
    <t>"อ.เมือง จ.กำแพงเพชร 62000"</t>
  </si>
  <si>
    <t>"FAX-2967905"</t>
  </si>
  <si>
    <t>"022812120"</t>
  </si>
  <si>
    <t>"HSBC 02-232-4999 (15-1531)              Kอรณี#488,K.WARAPORN 02-246-3887(#15-  รับที่HO ชั้น11 Kอรนา 13-16.00           1-2664 รับ10/ด.HSBCถามK.ปิยมาศT.02-2477000 *#3701Rอยู่ล/นแล้ว"</t>
  </si>
  <si>
    <t>"87050000.00"</t>
  </si>
  <si>
    <t>"1960-04-29"</t>
  </si>
  <si>
    <t>"0001064844"</t>
  </si>
  <si>
    <t>"334839"</t>
  </si>
  <si>
    <t>"0000000056"</t>
  </si>
  <si>
    <t>"บมจ. ภูประทำ  "</t>
  </si>
  <si>
    <t>"PUPATOM PUBLIC CO.,LTD."</t>
  </si>
  <si>
    <t>"ภูประทำ"</t>
  </si>
  <si>
    <t>"PUPATOM"</t>
  </si>
  <si>
    <t>"0107191568631"</t>
  </si>
  <si>
    <t>"003041002"</t>
  </si>
  <si>
    <t>"การผลิตอาหารสัตว์สำเร็จรูปสำหรับสัตว์บก (สำหรับปศุสัตว์) รวมถึงการแปรรูปขั้นต้นเพื่อเป็นวัตถุดิบในการผลิตอาหารสัตว์"</t>
  </si>
  <si>
    <t>"898"</t>
  </si>
  <si>
    <t>"คี.หี.อาฤเฤตว์"</t>
  </si>
  <si>
    <t>"ฒีษฏ"</t>
  </si>
  <si>
    <t>"สีลม"</t>
  </si>
  <si>
    <t>"บางรัก"</t>
  </si>
  <si>
    <t>"10500"</t>
  </si>
  <si>
    <t>"898 คี.หี.อาฤเฤตว์ ฃ.ฒีษฏ"</t>
  </si>
  <si>
    <t>"ต.สีลม อ.บางรัก จ.กทม. 10500"</t>
  </si>
  <si>
    <t>"R.U. BXESA"</t>
  </si>
  <si>
    <t>"898 ตน.R.U. BXESA ฃ.ฒีษฏ"</t>
  </si>
  <si>
    <t>"92"</t>
  </si>
  <si>
    <t>"898 ตน.คี.หี.อาฤเฤตว์ ลั้ฬ92 ฃ.ฒีษฏ"</t>
  </si>
  <si>
    <t>"026654901,92832"</t>
  </si>
  <si>
    <t>"8000"</t>
  </si>
  <si>
    <t>"026981007"</t>
  </si>
  <si>
    <t>"TR 20/ด."</t>
  </si>
  <si>
    <t>"54558000.00"</t>
  </si>
  <si>
    <t>"1994-01-27"</t>
  </si>
  <si>
    <t>"0004758512"</t>
  </si>
  <si>
    <t>"0000000058"</t>
  </si>
  <si>
    <t>"บมจ. เอนกศรี  "</t>
  </si>
  <si>
    <t>"AMEKSRI PUBLIC CO.,LTD."</t>
  </si>
  <si>
    <t>"เอนกศรี"</t>
  </si>
  <si>
    <t>"AMEKSRI"</t>
  </si>
  <si>
    <t>"0107191563779"</t>
  </si>
  <si>
    <t>"203110100"</t>
  </si>
  <si>
    <t>"(ส่งออก) การกลั่นน้ำมันเชื้อเพลิงจากน้ำมันปิโตรเลียม (ไม่รวมการสำรวจเจาะ)"</t>
  </si>
  <si>
    <t>"244"</t>
  </si>
  <si>
    <t>"เชิงเนิน"</t>
  </si>
  <si>
    <t>"ระยอง"</t>
  </si>
  <si>
    <t>"21000"</t>
  </si>
  <si>
    <t>"244 ฏ.3 ฃ.ฒุดุฏฤิอ ฮ.เลิปเฬิฬ"</t>
  </si>
  <si>
    <t>"อ.เมือง จ.ระยอง 21000"</t>
  </si>
  <si>
    <t>"333/2"</t>
  </si>
  <si>
    <t>"เต็ฬเฬตว์ฟี่ ฅี"</t>
  </si>
  <si>
    <t>"7"</t>
  </si>
  <si>
    <t>"ฤิฝาฤยีวัปฒิฮ"</t>
  </si>
  <si>
    <t>"จตุจักร"</t>
  </si>
  <si>
    <t>"10900"</t>
  </si>
  <si>
    <t>"333/2 ตน.เต็ฬเฬตว์ฟี่ ฅี ลั้ฬ7 ฃ.ฤิฝาฤยีฯ"</t>
  </si>
  <si>
    <t>"จตุจักร จตุจักร กทม. 10900"</t>
  </si>
  <si>
    <t>"ศูนย์เอนเนอร์ยี่คอมเพล็กซ์"</t>
  </si>
  <si>
    <t>"ฅี"</t>
  </si>
  <si>
    <t>"333/2 ตน.ฅี ลั้ฬ7 ฃ.ฤิฝาฤยีวัปฒิฮ ฮ.ฉฮุฉัชว"</t>
  </si>
  <si>
    <t>"อ.จตุจักร จ.กทม. 10900"</t>
  </si>
  <si>
    <t>"026871890"</t>
  </si>
  <si>
    <t>"026871566"</t>
  </si>
  <si>
    <t>"09:33:54  "</t>
  </si>
  <si>
    <t>"ทุกศุกร์ (08.3-15.30) SCBระยอง#3011,3146,3529,2932,2482,3612 ,SCBรัชโย#2703,2181,2819,399,2497,3702 #2628#4053"</t>
  </si>
  <si>
    <t>"0.01"</t>
  </si>
  <si>
    <t>"1994-10-10"</t>
  </si>
  <si>
    <t>"0000035080"</t>
  </si>
  <si>
    <t>"- สาขา 00014"</t>
  </si>
  <si>
    <t>"0000000071"</t>
  </si>
  <si>
    <t>"บจก. จันผะกา  "</t>
  </si>
  <si>
    <t>"CHANPAKA CO.,LTD."</t>
  </si>
  <si>
    <t>"จันผะกา"</t>
  </si>
  <si>
    <t>"CHANPAKA"</t>
  </si>
  <si>
    <t>"0105197534957"</t>
  </si>
  <si>
    <t>"203100106"</t>
  </si>
  <si>
    <t>"(ส่งออก) การผลิตเส้นใยประดิษฐ์ที่ไม่ใช้ในอุตสาหกรรมสิ่งทอ"</t>
  </si>
  <si>
    <t>"555/915-914"</t>
  </si>
  <si>
    <t>"ฏบาอุฬหษาค่า"</t>
  </si>
  <si>
    <t>"91"</t>
  </si>
  <si>
    <t>"เหษิฬฉิฮ"</t>
  </si>
  <si>
    <t>"555/915-914 ตน.ฏบาอุฬหษาค่า ลั้ฬ91 ฃ.เหษิฬฉิฮ"</t>
  </si>
  <si>
    <t>"022198855-16 SE"</t>
  </si>
  <si>
    <t>"T 290"</t>
  </si>
  <si>
    <t>"10:25:09  "</t>
  </si>
  <si>
    <t>"รับเช็คอาคารมหาทุนพลาซ่า ชั้น 16  T.02 253-6745-54 ติดต่อ คุณแดง"</t>
  </si>
  <si>
    <t>"1987-04-10"</t>
  </si>
  <si>
    <t>"0008483676"</t>
  </si>
  <si>
    <t>"สาขา 00001"</t>
  </si>
  <si>
    <t>"0000000098"</t>
  </si>
  <si>
    <t>"บจก. บุณสูงเพชร  "</t>
  </si>
  <si>
    <t>"BUNSUNGPHET CO.,LTD."</t>
  </si>
  <si>
    <t>"บุณสูงเพชร"</t>
  </si>
  <si>
    <t>"BUNSUNGPHET"</t>
  </si>
  <si>
    <t>"0105126532251"</t>
  </si>
  <si>
    <t>"1982-06-02"</t>
  </si>
  <si>
    <t>"0003773877"</t>
  </si>
  <si>
    <t>"0000000111"</t>
  </si>
  <si>
    <t>"บจก. สเหียบ  "</t>
  </si>
  <si>
    <t>"SAHEAB CO.,LTD."</t>
  </si>
  <si>
    <t>"สเหียบ"</t>
  </si>
  <si>
    <t>"SAHEAB"</t>
  </si>
  <si>
    <t>"0105120539997"</t>
  </si>
  <si>
    <t>"003100109"</t>
  </si>
  <si>
    <t>"การผลิตเคมีภัณฑ์สำหรับการเคลือบ การชุบ"</t>
  </si>
  <si>
    <t>"บริษัท อีเทอนัลเรซิ่น จำกัด"</t>
  </si>
  <si>
    <t>"974/40-42"</t>
  </si>
  <si>
    <t>"ฅาปชตชคิฮี้อาฤเฤตว"</t>
  </si>
  <si>
    <t>"94"</t>
  </si>
  <si>
    <t>"974/40-42 ตน.ฅาปชตชคิฮี้อาฤเฤตว ลั้ฬ94 ฃ.ฒาอวใฮ้"</t>
  </si>
  <si>
    <t>"022734568"</t>
  </si>
  <si>
    <t>"0500001047"</t>
  </si>
  <si>
    <t>"09:50:57  "</t>
  </si>
  <si>
    <t>"รับเช็คชั้น 19  อ.บางกอกซิตี้ทาวเวอร์  02-287-2000 #262 ลาวัลย์"</t>
  </si>
  <si>
    <t>"1978-10-11"</t>
  </si>
  <si>
    <t>"0001064188"</t>
  </si>
  <si>
    <t>"0000000115"</t>
  </si>
  <si>
    <t>"บจก. ทำเนียบ พลธรส  "</t>
  </si>
  <si>
    <t>"THAMNIAB POLTAROS CO.,LTD."</t>
  </si>
  <si>
    <t>"ทำเนียบ พลธรส"</t>
  </si>
  <si>
    <t>"THAMNIAB POLTAROS"</t>
  </si>
  <si>
    <t>"0105142564897"</t>
  </si>
  <si>
    <t>"203100203"</t>
  </si>
  <si>
    <t>"(ส่งออก) การผลิตน้ำหอม สบู่ เครื่องสำอาง แชมพู และเครื่องหอมอื่น ๆ"</t>
  </si>
  <si>
    <t>"บางโฉลง"</t>
  </si>
  <si>
    <t>"บางพลี"</t>
  </si>
  <si>
    <t>"10540"</t>
  </si>
  <si>
    <t>"12 ม.5 ต.บางโฉลง"</t>
  </si>
  <si>
    <t>"อ.บางพลี จ.สมุทรปราการ 10540"</t>
  </si>
  <si>
    <t>"364/2"</t>
  </si>
  <si>
    <t>"แฒฬฒุด"</t>
  </si>
  <si>
    <t>"ฒาณุผวะยิภก์"</t>
  </si>
  <si>
    <t>"ช่องนนทรี"</t>
  </si>
  <si>
    <t>"364/2 ค. แฒปฒุด ฃ. ฒาณุผวะยิภก์ ฮ. ล่ตปฬฬอวี"</t>
  </si>
  <si>
    <t>"022067586"</t>
  </si>
  <si>
    <t>"022069292"</t>
  </si>
  <si>
    <t>"CSIU@WOZNI.RXO"</t>
  </si>
  <si>
    <t>"1,10/ตามนัด      13-15.00"</t>
  </si>
  <si>
    <t>"10400000.00"</t>
  </si>
  <si>
    <t>"1970-12-01"</t>
  </si>
  <si>
    <t>"0000487202"</t>
  </si>
  <si>
    <t>"0000000117"</t>
  </si>
  <si>
    <t>"#01-3692 TR หลังจากวางบิล 30 วัน"</t>
  </si>
  <si>
    <t>"0000548020"</t>
  </si>
  <si>
    <t>"0000000120"</t>
  </si>
  <si>
    <t>"05:16:04"</t>
  </si>
  <si>
    <t>"TR 30/ด."</t>
  </si>
  <si>
    <t>"51000000.00"</t>
  </si>
  <si>
    <t>"0000026628"</t>
  </si>
  <si>
    <t>"0000000121"</t>
  </si>
  <si>
    <t>"บมจ. พรมบ้านไร่  "</t>
  </si>
  <si>
    <t>"PLOMBANRAI PUBLIC CO.,LTD."</t>
  </si>
  <si>
    <t>"พรมบ้านไร่"</t>
  </si>
  <si>
    <t>"PLOMBANRAI"</t>
  </si>
  <si>
    <t>"0107193568891"</t>
  </si>
  <si>
    <t>"009020399"</t>
  </si>
  <si>
    <t>"บริการสันทนาการและการกีฬาอื่น ๆ ที่มิได้ระบุไว้"</t>
  </si>
  <si>
    <t>"บมจ.สยามสปอร์ตซินดิเคท"</t>
  </si>
  <si>
    <t>"11/21-24"</t>
  </si>
  <si>
    <t>"วาฏติฬอวา"</t>
  </si>
  <si>
    <t>"นวลจันทร์"</t>
  </si>
  <si>
    <t>"บึงกุ่ม"</t>
  </si>
  <si>
    <t>"10230"</t>
  </si>
  <si>
    <t>"11/21-24 ฃ.วาฏติฬอวา ฮ.ฬฤษฉัฬอว์"</t>
  </si>
  <si>
    <t>"อ.บึงกุ่ม จ.กทม. 10230"</t>
  </si>
  <si>
    <t>"025453568"</t>
  </si>
  <si>
    <t>"025453544"</t>
  </si>
  <si>
    <t>"0500024149"</t>
  </si>
  <si>
    <t>"NATAMON.S@KBTG.TECH"</t>
  </si>
  <si>
    <t>"1995-02-27"</t>
  </si>
  <si>
    <t>"0000088332"</t>
  </si>
  <si>
    <t>"0000000123"</t>
  </si>
  <si>
    <t>"บจก. วงศ์วิธาน  "</t>
  </si>
  <si>
    <t>"WONGWITHAN CO.,LTD."</t>
  </si>
  <si>
    <t>"วงศ์วิธาน"</t>
  </si>
  <si>
    <t>"WONGWITHAN"</t>
  </si>
  <si>
    <t>"0105143567865"</t>
  </si>
  <si>
    <t>"008010502"</t>
  </si>
  <si>
    <t>"บริการส่งของ และการบรรจุลัง SHIPPING อันเกี่ยวเนื่องกับการขนส่งสินค้าทางทะเลระหว่างประเทศ"</t>
  </si>
  <si>
    <t>"นาย คำคันทุง กสานต์XXXXX"</t>
  </si>
  <si>
    <t>"0813867350"</t>
  </si>
  <si>
    <t>"worawat.s@kasikornbank.com"</t>
  </si>
  <si>
    <t>"8855/76-77"</t>
  </si>
  <si>
    <t>"ฒิวิฬวัฮฬ์"</t>
  </si>
  <si>
    <t>"29"</t>
  </si>
  <si>
    <t>"หวะวาฏอี่6"</t>
  </si>
  <si>
    <t>"คลองตัน"</t>
  </si>
  <si>
    <t>"คลองเตย"</t>
  </si>
  <si>
    <t>"8855/76-77 ตน.ฒิวิฬวัฮฬ์ ลั้ฬ29 ฃ.หวะวาฏอี่6"</t>
  </si>
  <si>
    <t>"คลองตัน คลองเตย กทม. 10110"</t>
  </si>
  <si>
    <t>"หวะวาฏ 6"</t>
  </si>
  <si>
    <t>"8855/76-77 ตน.ฒิวิฬวัฮฬ์ ลั้ฬ29 ฃ.หวะวาฏ 6"</t>
  </si>
  <si>
    <t>"บจก.ทรานสโป อินเตอร์เนชั่นแนล"</t>
  </si>
  <si>
    <t>"899/66-61"</t>
  </si>
  <si>
    <t>"ฒวปผวะฝา"</t>
  </si>
  <si>
    <t>"สีกัน"</t>
  </si>
  <si>
    <t>"ดอนเมือง"</t>
  </si>
  <si>
    <t>"10210"</t>
  </si>
  <si>
    <t>"899/66-61 ฃ.ฒวปผวะฝา ฮ.ฒีชัฬ"</t>
  </si>
  <si>
    <t>"อ.ดอนเมือง จ.กทม. 10210"</t>
  </si>
  <si>
    <t>"026731318"</t>
  </si>
  <si>
    <t>"026731382"</t>
  </si>
  <si>
    <t>"0808617157"</t>
  </si>
  <si>
    <t>"QDOROMMFMM@BAZDMUXIXWNMBNRM.RXO"</t>
  </si>
  <si>
    <t>"5&amp;20/ด( 13.00-17.00 )นับจากวางบิล! ให้รีบโทรแจ้งส่งไปคลองเตย ที่อยู่ดอนเมือง02 5661055 Kหม้วย   02-687-7932 ขอรายละเอียด"</t>
  </si>
  <si>
    <t>"1975-04-30"</t>
  </si>
  <si>
    <t>"0003438065"</t>
  </si>
  <si>
    <t>"627262"</t>
  </si>
  <si>
    <t>"0000000132"</t>
  </si>
  <si>
    <t>"บมจ. พรทิพย์ภา  "</t>
  </si>
  <si>
    <t>"PORNTIPPA PUBLIC CO.,LTD."</t>
  </si>
  <si>
    <t>"พรทิพย์ภา"</t>
  </si>
  <si>
    <t>"PORNTIPPA"</t>
  </si>
  <si>
    <t>"0107191568444"</t>
  </si>
  <si>
    <t>"003100101"</t>
  </si>
  <si>
    <t>"การผลิตก๊าซที่ใช้งานอุตสาหกรรม"</t>
  </si>
  <si>
    <t>"2/8"</t>
  </si>
  <si>
    <t>"ฅาปฬาอาฤเฤตว์"</t>
  </si>
  <si>
    <t>"บางแก้ว"</t>
  </si>
  <si>
    <t>"2/8 ฅาปฬาอาฤเฤตว์ ลั้ฬ93 ฮ.ฅาปแช้ฤ"</t>
  </si>
  <si>
    <t>"023658768"</t>
  </si>
  <si>
    <t>"09:50:30  "</t>
  </si>
  <si>
    <t>"8-10/ด. 13.30-15.30 SQ,รับTNCB มาบตาพุด # 3011/3474  ถามเช็ค02-2324999"</t>
  </si>
  <si>
    <t>"1994-03-14"</t>
  </si>
  <si>
    <t>"0003773047"</t>
  </si>
  <si>
    <t>"0000000142"</t>
  </si>
  <si>
    <t>"บจก. เคอร์ดี้  "</t>
  </si>
  <si>
    <t>"CURDY CO.,LTD."</t>
  </si>
  <si>
    <t>"เคอร์ดี้"</t>
  </si>
  <si>
    <t>"CURDY"</t>
  </si>
  <si>
    <t>"0115194568338"</t>
  </si>
  <si>
    <t>"19"</t>
  </si>
  <si>
    <t>"ฅาปฬา-ฮวาย ชฏ.82"</t>
  </si>
  <si>
    <t>"บ้านระกาศ"</t>
  </si>
  <si>
    <t>"บางบ่อ"</t>
  </si>
  <si>
    <t>"10560"</t>
  </si>
  <si>
    <t>"19 ฏ.1 ฃ.ฅาปฬา-ฮวาย ชฏ.82 ฮ.ฅ้าฬวะชาฌ"</t>
  </si>
  <si>
    <t>"อ.บางบ่อ จ.สมุทรปราการ 10560"</t>
  </si>
  <si>
    <t>"90310"</t>
  </si>
  <si>
    <t>"023638608"</t>
  </si>
  <si>
    <t>"TR 22/ด."</t>
  </si>
  <si>
    <t>"1989-01-27"</t>
  </si>
  <si>
    <t>"0003773543"</t>
  </si>
  <si>
    <t>"0000000144"</t>
  </si>
  <si>
    <t>"บจก. ศิริวรากรณ์  "</t>
  </si>
  <si>
    <t>"SIRIWARAKORN CO.,LTD."</t>
  </si>
  <si>
    <t>"ศิริวรากรณ์"</t>
  </si>
  <si>
    <t>"SIRIWARAKORN"</t>
  </si>
  <si>
    <t>"0105190565679"</t>
  </si>
  <si>
    <t>"003160202"</t>
  </si>
  <si>
    <t>"การผลิตสายไฟฟ้า สายเคเบิลอื่นๆ"</t>
  </si>
  <si>
    <t>"น.ส. สิวรุจน แก้วอรสานต์"</t>
  </si>
  <si>
    <t>"0846512237"</t>
  </si>
  <si>
    <t>"waraporn.bo@kasikornbank.com"</t>
  </si>
  <si>
    <t>"33/23"</t>
  </si>
  <si>
    <t>"98"</t>
  </si>
  <si>
    <t>"ฬฤฬนว"</t>
  </si>
  <si>
    <t>"คลองหนึ่ง"</t>
  </si>
  <si>
    <t>"คลองหลวง"</t>
  </si>
  <si>
    <t>"ปทุมธานี"</t>
  </si>
  <si>
    <t>"12120"</t>
  </si>
  <si>
    <t>"33/23 ฏ.98 ค.ฬฤฬนว ฃ.หบษโฟณิฬ ฮ.นษตปบฬึ่ป"</t>
  </si>
  <si>
    <t>"อ.คลองหลวง จ.ปทุมธานี 12120"</t>
  </si>
  <si>
    <t>"ฬฤฬนวโนวปชาว6"</t>
  </si>
  <si>
    <t>"33/23 ฏ.98 ฬฤฬนวโนวปชาว6 ฮ.นษตปบฬึ่ป"</t>
  </si>
  <si>
    <t>"อ.คลองหลวง ปทุมธานี 12120"</t>
  </si>
  <si>
    <t>"005970219"</t>
  </si>
  <si>
    <t>"JFARJFJ@FFL.HQTNLQAZ.RX.BC"</t>
  </si>
  <si>
    <t>"ศ.สุดท้าย  (13-15.30 )#1548,2497#4036 นวนครซอย 4/1 หรือ 26  เลยนัดรับได้ทุกศ.บ่าย(13-15.30)  , #2904รับUOBสาทร ทุก30ของเดือนตรงหยุ+4วันดปัดขึ้น"</t>
  </si>
  <si>
    <t>"1988-01-25"</t>
  </si>
  <si>
    <t>"0003071165"</t>
  </si>
  <si>
    <t>"423311"</t>
  </si>
  <si>
    <t>"0000000159"</t>
  </si>
  <si>
    <t>"งดจ่ายเช็คสัปดาห์สุดท้าย/ด.#10-628 จัดC/T120วัน  #4439 ติดต่อK.อัจฉรา/แผนกพลาธิการ087-9802964"</t>
  </si>
  <si>
    <t>"0029670791"</t>
  </si>
  <si>
    <t>"0000000160"</t>
  </si>
  <si>
    <t>"บจก. กิตติกุลวานิช์  "</t>
  </si>
  <si>
    <t>"KITTIKULWANIT CO.,LTD."</t>
  </si>
  <si>
    <t>"กิตติกุลวานิช์"</t>
  </si>
  <si>
    <t>"KITTIKULWANIT"</t>
  </si>
  <si>
    <t>"0105169730054"</t>
  </si>
  <si>
    <t>"009030201"</t>
  </si>
  <si>
    <t>"โรงพยาบาลทั่วไป"</t>
  </si>
  <si>
    <t>"น.ส. อนวัชสกุ พายุหมุนXXXXXX"</t>
  </si>
  <si>
    <t>"0852865112"</t>
  </si>
  <si>
    <t>"peerapan.l@kasikornbank.com"</t>
  </si>
  <si>
    <t>"816/9"</t>
  </si>
  <si>
    <t>"816/9 ฃ. ฌวีตฟุณฟา ฮ. ฃฬฬหฎาไอ"</t>
  </si>
  <si>
    <t>"อ. ราชเทวี จ. กทม. 10400"</t>
  </si>
  <si>
    <t>"026821491"</t>
  </si>
  <si>
    <t>"12789000.00"</t>
  </si>
  <si>
    <t>"2001-12-11"</t>
  </si>
  <si>
    <t>"0004799196"</t>
  </si>
  <si>
    <t>"479037"</t>
  </si>
  <si>
    <t>"0000000161"</t>
  </si>
  <si>
    <t>"บจก. สัตยานุวงศ์  "</t>
  </si>
  <si>
    <t>"SATTAYANUWONG CO.,LTD."</t>
  </si>
  <si>
    <t>"สัตยานุวงศ์"</t>
  </si>
  <si>
    <t>"SATTAYANUWONG"</t>
  </si>
  <si>
    <t>"0105121573439"</t>
  </si>
  <si>
    <t>"รพ.พญาไท 2"</t>
  </si>
  <si>
    <t>"468"</t>
  </si>
  <si>
    <t>"ตานาวฒำฬัชปาฬ แฑฬชฅัฎลี"</t>
  </si>
  <si>
    <t>"99"</t>
  </si>
  <si>
    <t>"468 ตน.ตานาวฒำฬัชปาฬ แฑฬชฅัฎลี ลั้ฬ99 ฃ.หบษฯ"</t>
  </si>
  <si>
    <t>"สามเสนใน พญาไท กทม. 10400"</t>
  </si>
  <si>
    <t>"026234257"</t>
  </si>
  <si>
    <t>"026234220"</t>
  </si>
  <si>
    <t>"#4256 CTBวรวัฒน์ จ่ายนาม KBANK"</t>
  </si>
  <si>
    <t>"10450000.00"</t>
  </si>
  <si>
    <t>"1984-09-07"</t>
  </si>
  <si>
    <t>"0000346659"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</si>
</sst>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0.5"/>
      <color rgb="FF0D0D0D"/>
      <name val="Arial"/>
      <family val="2"/>
    </font>
    <font>
      <sz val="12"/>
      <color rgb="FF0D0D0D"/>
      <name val="Aptos Display"/>
      <scheme val="major"/>
    </font>
    <font>
      <i/>
      <sz val="12"/>
      <color rgb="FF002060"/>
      <name val="Aptos Narrow"/>
      <scheme val="minor"/>
    </font>
    <font>
      <b/>
      <sz val="12"/>
      <color theme="0"/>
      <name val="Aptos Narrow"/>
      <scheme val="minor"/>
    </font>
    <font>
      <sz val="12"/>
      <color rgb="FF000000"/>
      <name val="Aptos Narrow"/>
      <family val="2"/>
      <scheme val="minor"/>
    </font>
    <font>
      <b/>
      <sz val="12"/>
      <color theme="0"/>
      <name val="Aptos Narrow"/>
      <family val="2"/>
      <scheme val="minor"/>
    </font>
    <font>
      <b/>
      <sz val="10.5"/>
      <color theme="0"/>
      <name val="Arial"/>
      <family val="2"/>
    </font>
    <font>
      <b/>
      <sz val="12"/>
      <color theme="0"/>
      <name val="Aptos Display"/>
      <scheme val="major"/>
    </font>
    <font>
      <sz val="12"/>
      <color theme="0"/>
      <name val="Aptos Narrow"/>
      <family val="2"/>
      <scheme val="minor"/>
    </font>
    <font>
      <sz val="12"/>
      <color theme="0"/>
      <name val="Aptos Display"/>
      <scheme val="major"/>
    </font>
    <font>
      <sz val="10"/>
      <color rgb="FFFFFFFF"/>
      <name val="Inherit"/>
    </font>
    <font>
      <sz val="10.5"/>
      <color rgb="FF0D0D0D"/>
      <name val="Arial"/>
      <family val="2"/>
    </font>
  </fonts>
  <fills count="4">
    <fill>
      <patternFill patternType="none"/>
    </fill>
    <fill>
      <patternFill patternType="gray125"/>
    </fill>
    <fill>
      <patternFill patternType="solid">
        <fgColor theme="3"/>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1" fillId="0" borderId="0" xfId="0" applyFont="1"/>
    <xf numFmtId="14" fontId="0" fillId="0" borderId="0" xfId="0" applyNumberFormat="1"/>
    <xf numFmtId="0" fontId="4" fillId="0" borderId="0" xfId="0" applyFont="1"/>
    <xf numFmtId="0" fontId="5" fillId="2" borderId="1" xfId="0" applyFont="1" applyFill="1" applyBorder="1"/>
    <xf numFmtId="0" fontId="0" fillId="0" borderId="1" xfId="0" applyBorder="1"/>
    <xf numFmtId="0" fontId="6" fillId="0" borderId="0" xfId="0" applyFont="1"/>
    <xf numFmtId="0" fontId="7" fillId="2" borderId="1" xfId="0" applyFont="1" applyFill="1" applyBorder="1"/>
    <xf numFmtId="0" fontId="8" fillId="2" borderId="1" xfId="0" applyFont="1" applyFill="1" applyBorder="1" applyAlignment="1">
      <alignment horizontal="left" vertical="top"/>
    </xf>
    <xf numFmtId="0" fontId="2" fillId="0" borderId="1" xfId="0" applyFont="1" applyBorder="1" applyAlignment="1">
      <alignment horizontal="left" vertical="top"/>
    </xf>
    <xf numFmtId="0" fontId="3" fillId="0" borderId="0" xfId="0" applyFont="1"/>
    <xf numFmtId="0" fontId="9" fillId="2" borderId="0" xfId="0" applyFont="1" applyFill="1" applyAlignment="1">
      <alignment horizontal="left" vertical="top"/>
    </xf>
    <xf numFmtId="0" fontId="9" fillId="2" borderId="0" xfId="0" applyFont="1" applyFill="1"/>
    <xf numFmtId="0" fontId="0" fillId="0" borderId="1" xfId="0" applyBorder="1" applyAlignment="1">
      <alignment horizontal="left" vertical="top"/>
    </xf>
    <xf numFmtId="0" fontId="11" fillId="2" borderId="0" xfId="0" applyFont="1" applyFill="1"/>
    <xf numFmtId="0" fontId="10" fillId="2" borderId="0" xfId="0" applyFont="1" applyFill="1"/>
    <xf numFmtId="0" fontId="2" fillId="0" borderId="1" xfId="0" applyFont="1" applyBorder="1" applyAlignment="1">
      <alignment horizontal="left" vertical="top" wrapText="1"/>
    </xf>
    <xf numFmtId="0" fontId="0" fillId="0" borderId="0" xfId="0" applyAlignment="1">
      <alignment wrapText="1"/>
    </xf>
    <xf numFmtId="0" fontId="2" fillId="3" borderId="1" xfId="0" applyFont="1" applyFill="1" applyBorder="1" applyAlignment="1">
      <alignment horizontal="left" vertical="top"/>
    </xf>
    <xf numFmtId="0" fontId="0" fillId="3" borderId="1" xfId="0" applyFill="1" applyBorder="1" applyAlignment="1">
      <alignment horizontal="left" vertical="top"/>
    </xf>
    <xf numFmtId="0" fontId="5" fillId="2" borderId="5" xfId="0" applyFont="1" applyFill="1" applyBorder="1"/>
    <xf numFmtId="0" fontId="5" fillId="2" borderId="0" xfId="0" applyFont="1" applyFill="1"/>
    <xf numFmtId="0" fontId="5" fillId="2" borderId="1" xfId="0" applyFont="1" applyFill="1" applyBorder="1" applyAlignment="1">
      <alignment horizontal="left" vertical="top"/>
    </xf>
    <xf numFmtId="0" fontId="0" fillId="2" borderId="0" xfId="0" applyFill="1"/>
    <xf numFmtId="0" fontId="12" fillId="0" borderId="0" xfId="0" applyFont="1"/>
    <xf numFmtId="0" fontId="5" fillId="2" borderId="4" xfId="0" applyFont="1" applyFill="1" applyBorder="1" applyAlignment="1">
      <alignment horizontal="left" vertical="top" wrapText="1"/>
    </xf>
    <xf numFmtId="0" fontId="0" fillId="0" borderId="1" xfId="0" applyBorder="1" applyAlignment="1">
      <alignment horizontal="left"/>
    </xf>
    <xf numFmtId="0" fontId="13" fillId="0" borderId="0" xfId="0" applyFont="1"/>
    <xf numFmtId="0" fontId="2" fillId="0" borderId="0" xfId="0" applyFont="1"/>
    <xf numFmtId="0" fontId="2" fillId="3" borderId="1" xfId="0" applyFont="1" applyFill="1" applyBorder="1" applyAlignment="1">
      <alignment horizontal="left" vertical="top" wrapText="1"/>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xf>
    <xf numFmtId="49" fontId="0" fillId="0" borderId="0" xfId="0" applyNumberFormat="1"/>
    <xf numFmtId="0" fontId="0" fillId="0" borderId="0" xfId="0"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4D93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13</xdr:row>
      <xdr:rowOff>177800</xdr:rowOff>
    </xdr:from>
    <xdr:to>
      <xdr:col>15</xdr:col>
      <xdr:colOff>785424</xdr:colOff>
      <xdr:row>23</xdr:row>
      <xdr:rowOff>76200</xdr:rowOff>
    </xdr:to>
    <xdr:pic>
      <xdr:nvPicPr>
        <xdr:cNvPr id="4" name="Picture 3">
          <a:extLst>
            <a:ext uri="{FF2B5EF4-FFF2-40B4-BE49-F238E27FC236}">
              <a16:creationId xmlns:a16="http://schemas.microsoft.com/office/drawing/2014/main" id="{93BCBC19-0078-C655-5ABA-8F606A4FE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3200" y="2819400"/>
          <a:ext cx="12075724" cy="193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811018</xdr:colOff>
      <xdr:row>26</xdr:row>
      <xdr:rowOff>60603</xdr:rowOff>
    </xdr:from>
    <xdr:to>
      <xdr:col>16</xdr:col>
      <xdr:colOff>8675</xdr:colOff>
      <xdr:row>48</xdr:row>
      <xdr:rowOff>114301</xdr:rowOff>
    </xdr:to>
    <xdr:pic>
      <xdr:nvPicPr>
        <xdr:cNvPr id="6" name="Picture 5">
          <a:extLst>
            <a:ext uri="{FF2B5EF4-FFF2-40B4-BE49-F238E27FC236}">
              <a16:creationId xmlns:a16="http://schemas.microsoft.com/office/drawing/2014/main" id="{9AB9A88A-4FF4-5206-223C-4330BF0B4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66018" y="5343803"/>
          <a:ext cx="12151657" cy="4524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114300</xdr:rowOff>
    </xdr:from>
    <xdr:to>
      <xdr:col>7</xdr:col>
      <xdr:colOff>25400</xdr:colOff>
      <xdr:row>30</xdr:row>
      <xdr:rowOff>99060</xdr:rowOff>
    </xdr:to>
    <xdr:pic>
      <xdr:nvPicPr>
        <xdr:cNvPr id="3" name="Picture 2">
          <a:extLst>
            <a:ext uri="{FF2B5EF4-FFF2-40B4-BE49-F238E27FC236}">
              <a16:creationId xmlns:a16="http://schemas.microsoft.com/office/drawing/2014/main" id="{4C35E289-19D6-9D4A-B0CB-DF7B8DB37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6300"/>
          <a:ext cx="10375900" cy="4048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50800</xdr:colOff>
      <xdr:row>9</xdr:row>
      <xdr:rowOff>12700</xdr:rowOff>
    </xdr:from>
    <xdr:to>
      <xdr:col>5</xdr:col>
      <xdr:colOff>25400</xdr:colOff>
      <xdr:row>33</xdr:row>
      <xdr:rowOff>166121</xdr:rowOff>
    </xdr:to>
    <xdr:pic>
      <xdr:nvPicPr>
        <xdr:cNvPr id="3" name="Picture 2">
          <a:extLst>
            <a:ext uri="{FF2B5EF4-FFF2-40B4-BE49-F238E27FC236}">
              <a16:creationId xmlns:a16="http://schemas.microsoft.com/office/drawing/2014/main" id="{D3C5590C-2725-D549-9577-A5CC4323D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231900"/>
          <a:ext cx="11722100" cy="50302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v_cis_db_4" connectionId="2" xr16:uid="{3901ADFF-F4EE-0A4B-9D14-2911D6A035CB}"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v_cis_datafile_1" connectionId="1" xr16:uid="{A757BED2-F181-3E4E-AF65-D7B6BD4BE84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9D98-DED6-0947-8773-5E9B7BF1283A}">
  <dimension ref="A2:K12"/>
  <sheetViews>
    <sheetView workbookViewId="0">
      <selection activeCell="F17" sqref="F17"/>
    </sheetView>
  </sheetViews>
  <sheetFormatPr baseColWidth="10" defaultRowHeight="16"/>
  <sheetData>
    <row r="2" spans="1:11">
      <c r="A2" s="15" t="s">
        <v>297</v>
      </c>
      <c r="B2" s="23"/>
      <c r="C2" s="23"/>
      <c r="D2" s="23"/>
      <c r="E2" s="23"/>
      <c r="F2" s="23"/>
      <c r="G2" s="23"/>
      <c r="H2" s="23"/>
      <c r="I2" s="23"/>
      <c r="J2" s="23"/>
      <c r="K2" s="23"/>
    </row>
    <row r="3" spans="1:11">
      <c r="A3" s="15" t="s">
        <v>303</v>
      </c>
      <c r="B3" s="23"/>
      <c r="C3" s="23"/>
      <c r="D3" s="23"/>
      <c r="E3" s="23"/>
      <c r="F3" s="23"/>
      <c r="G3" s="23"/>
      <c r="H3" s="23"/>
      <c r="I3" s="23"/>
      <c r="J3" s="23"/>
      <c r="K3" s="23"/>
    </row>
    <row r="4" spans="1:11">
      <c r="A4" s="14" t="s">
        <v>298</v>
      </c>
      <c r="B4" s="23"/>
      <c r="C4" s="23"/>
      <c r="D4" s="23"/>
      <c r="E4" s="23"/>
      <c r="F4" s="23"/>
      <c r="G4" s="23"/>
      <c r="H4" s="23"/>
      <c r="I4" s="23"/>
      <c r="J4" s="23"/>
      <c r="K4" s="23"/>
    </row>
    <row r="5" spans="1:11">
      <c r="A5" s="15" t="s">
        <v>304</v>
      </c>
      <c r="B5" s="23"/>
      <c r="C5" s="23"/>
      <c r="D5" s="23"/>
      <c r="E5" s="23"/>
      <c r="F5" s="23"/>
      <c r="G5" s="23"/>
      <c r="H5" s="23"/>
      <c r="I5" s="23"/>
      <c r="J5" s="23"/>
      <c r="K5" s="23"/>
    </row>
    <row r="7" spans="1:11">
      <c r="A7" s="1" t="s">
        <v>295</v>
      </c>
    </row>
    <row r="8" spans="1:11">
      <c r="A8" t="s">
        <v>0</v>
      </c>
    </row>
    <row r="11" spans="1:11">
      <c r="A11" s="21" t="s">
        <v>305</v>
      </c>
      <c r="B11" s="21" t="s">
        <v>306</v>
      </c>
      <c r="C11" s="21" t="s">
        <v>307</v>
      </c>
      <c r="D11" s="21" t="s">
        <v>308</v>
      </c>
    </row>
    <row r="12" spans="1:11">
      <c r="A12" s="5" t="str">
        <f>'Extraction Unit Test Case1 '!A8</f>
        <v>PASSED</v>
      </c>
      <c r="B12" s="5" t="str">
        <f>'Extraction Unit Test Case 2'!A8</f>
        <v>PASSED</v>
      </c>
      <c r="C12" s="5" t="str">
        <f>'Extraction Unit Test Case3'!A8</f>
        <v>PASSED</v>
      </c>
      <c r="D12" s="5" t="str">
        <f>'Extraction Unit Test Case4'!A8</f>
        <v>FAILED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D8EA-409B-EC40-8D06-432082DB8AB5}">
  <dimension ref="A1:H39"/>
  <sheetViews>
    <sheetView zoomScaleNormal="100" workbookViewId="0">
      <selection activeCell="C23" sqref="C23"/>
    </sheetView>
  </sheetViews>
  <sheetFormatPr baseColWidth="10" defaultRowHeight="16"/>
  <cols>
    <col min="1" max="3" width="30.83203125" customWidth="1"/>
    <col min="4" max="4" width="15.83203125" customWidth="1"/>
    <col min="8" max="9" width="30.83203125" customWidth="1"/>
  </cols>
  <sheetData>
    <row r="1" spans="1:8">
      <c r="A1" t="s">
        <v>297</v>
      </c>
    </row>
    <row r="3" spans="1:8">
      <c r="A3" s="1" t="s">
        <v>295</v>
      </c>
      <c r="H3" s="1"/>
    </row>
    <row r="4" spans="1:8">
      <c r="A4" s="6" t="s">
        <v>0</v>
      </c>
    </row>
    <row r="5" spans="1:8">
      <c r="A5" s="6"/>
    </row>
    <row r="6" spans="1:8">
      <c r="A6" s="1"/>
    </row>
    <row r="7" spans="1:8">
      <c r="A7" s="21" t="s">
        <v>309</v>
      </c>
      <c r="H7" s="1"/>
    </row>
    <row r="8" spans="1:8">
      <c r="A8" s="5" t="str">
        <f>IF(A13=B13, "PASSED", "FAILED")</f>
        <v>PASSED</v>
      </c>
      <c r="H8" s="1"/>
    </row>
    <row r="9" spans="1:8">
      <c r="H9" s="1"/>
    </row>
    <row r="10" spans="1:8">
      <c r="A10" s="1" t="s">
        <v>291</v>
      </c>
      <c r="B10" s="2">
        <v>45420</v>
      </c>
      <c r="H10" s="1"/>
    </row>
    <row r="11" spans="1:8">
      <c r="A11" s="1"/>
      <c r="B11" s="2"/>
    </row>
    <row r="12" spans="1:8">
      <c r="A12" s="4" t="s">
        <v>310</v>
      </c>
      <c r="B12" s="20" t="s">
        <v>290</v>
      </c>
      <c r="E12" s="3" t="s">
        <v>292</v>
      </c>
    </row>
    <row r="13" spans="1:8">
      <c r="A13" s="5">
        <v>8127</v>
      </c>
      <c r="B13" s="5">
        <v>8127</v>
      </c>
      <c r="E13" s="1"/>
      <c r="F13" s="1" t="s">
        <v>293</v>
      </c>
    </row>
    <row r="25" spans="4:8">
      <c r="D25" s="1"/>
      <c r="F25" s="1" t="s">
        <v>294</v>
      </c>
    </row>
    <row r="26" spans="4:8">
      <c r="D26" s="1"/>
      <c r="H26" s="1"/>
    </row>
    <row r="27" spans="4:8">
      <c r="H27" s="1"/>
    </row>
    <row r="38" spans="8:8">
      <c r="H38" s="1"/>
    </row>
    <row r="39" spans="8:8">
      <c r="H39"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2F18-369A-6040-B1E8-EEFC8FB29445}">
  <dimension ref="A1:M148"/>
  <sheetViews>
    <sheetView topLeftCell="A2" zoomScaleNormal="100" workbookViewId="0">
      <selection activeCell="C8" sqref="C8"/>
    </sheetView>
  </sheetViews>
  <sheetFormatPr baseColWidth="10" defaultRowHeight="16"/>
  <cols>
    <col min="1" max="3" width="30.83203125" customWidth="1"/>
  </cols>
  <sheetData>
    <row r="1" spans="1:10">
      <c r="A1" t="s">
        <v>303</v>
      </c>
    </row>
    <row r="3" spans="1:10">
      <c r="A3" s="1" t="s">
        <v>295</v>
      </c>
    </row>
    <row r="4" spans="1:10">
      <c r="A4" t="s">
        <v>0</v>
      </c>
    </row>
    <row r="7" spans="1:10">
      <c r="A7" s="22" t="s">
        <v>309</v>
      </c>
    </row>
    <row r="8" spans="1:10">
      <c r="A8" s="13" t="str">
        <f>IF(F34=H34, "PASSED", "FAILED")</f>
        <v>PASSED</v>
      </c>
    </row>
    <row r="10" spans="1:10" ht="17" customHeight="1">
      <c r="A10" t="s">
        <v>311</v>
      </c>
    </row>
    <row r="13" spans="1:10">
      <c r="I13" s="1"/>
      <c r="J13" s="1"/>
    </row>
    <row r="16" spans="1:10">
      <c r="J16" s="24"/>
    </row>
    <row r="31" spans="9:13">
      <c r="I31" s="1"/>
      <c r="J31" s="1"/>
      <c r="K31" s="1"/>
      <c r="L31" s="1"/>
      <c r="M31" s="1"/>
    </row>
    <row r="32" spans="9:13">
      <c r="I32" s="1"/>
      <c r="J32" s="1"/>
      <c r="K32" s="1"/>
      <c r="L32" s="1"/>
      <c r="M32" s="1"/>
    </row>
    <row r="33" spans="1:9">
      <c r="A33" s="7" t="s">
        <v>296</v>
      </c>
      <c r="B33" s="8" t="s">
        <v>159</v>
      </c>
      <c r="C33" s="4" t="s">
        <v>275</v>
      </c>
      <c r="D33" s="21" t="s">
        <v>302</v>
      </c>
      <c r="F33" s="22" t="s">
        <v>276</v>
      </c>
      <c r="G33" s="22"/>
      <c r="H33" s="30" t="s">
        <v>277</v>
      </c>
      <c r="I33" s="31"/>
    </row>
    <row r="34" spans="1:9">
      <c r="A34" s="5">
        <v>1</v>
      </c>
      <c r="B34" s="9" t="s">
        <v>6</v>
      </c>
      <c r="C34" s="5" t="s">
        <v>160</v>
      </c>
      <c r="D34" s="5" t="b">
        <f t="shared" ref="D34:D98" si="0">B34=C34</f>
        <v>1</v>
      </c>
      <c r="F34" s="32">
        <v>115</v>
      </c>
      <c r="G34" s="33"/>
      <c r="H34" s="34">
        <v>115</v>
      </c>
      <c r="I34" s="34"/>
    </row>
    <row r="35" spans="1:9">
      <c r="A35" s="5">
        <v>2</v>
      </c>
      <c r="B35" s="9" t="s">
        <v>9</v>
      </c>
      <c r="C35" s="5" t="s">
        <v>161</v>
      </c>
      <c r="D35" s="5" t="b">
        <f t="shared" si="0"/>
        <v>1</v>
      </c>
    </row>
    <row r="36" spans="1:9">
      <c r="A36" s="5">
        <v>3</v>
      </c>
      <c r="B36" s="9" t="s">
        <v>11</v>
      </c>
      <c r="C36" s="5" t="s">
        <v>162</v>
      </c>
      <c r="D36" s="5" t="b">
        <f t="shared" si="0"/>
        <v>1</v>
      </c>
    </row>
    <row r="37" spans="1:9">
      <c r="A37" s="5">
        <v>4</v>
      </c>
      <c r="B37" s="9" t="s">
        <v>12</v>
      </c>
      <c r="C37" s="5" t="s">
        <v>163</v>
      </c>
      <c r="D37" s="5" t="b">
        <f t="shared" si="0"/>
        <v>1</v>
      </c>
    </row>
    <row r="38" spans="1:9">
      <c r="A38" s="5">
        <v>5</v>
      </c>
      <c r="B38" s="9" t="s">
        <v>14</v>
      </c>
      <c r="C38" s="5" t="s">
        <v>164</v>
      </c>
      <c r="D38" s="5" t="b">
        <f t="shared" si="0"/>
        <v>1</v>
      </c>
    </row>
    <row r="39" spans="1:9">
      <c r="A39" s="5">
        <v>6</v>
      </c>
      <c r="B39" s="9" t="s">
        <v>16</v>
      </c>
      <c r="C39" s="5" t="s">
        <v>165</v>
      </c>
      <c r="D39" s="5" t="b">
        <f t="shared" si="0"/>
        <v>1</v>
      </c>
    </row>
    <row r="40" spans="1:9">
      <c r="A40" s="5">
        <v>7</v>
      </c>
      <c r="B40" s="9" t="s">
        <v>18</v>
      </c>
      <c r="C40" s="5" t="s">
        <v>166</v>
      </c>
      <c r="D40" s="5" t="b">
        <f t="shared" si="0"/>
        <v>1</v>
      </c>
    </row>
    <row r="41" spans="1:9">
      <c r="A41" s="5">
        <v>8</v>
      </c>
      <c r="B41" s="9" t="s">
        <v>20</v>
      </c>
      <c r="C41" s="5" t="s">
        <v>167</v>
      </c>
      <c r="D41" s="5" t="b">
        <f t="shared" si="0"/>
        <v>1</v>
      </c>
    </row>
    <row r="42" spans="1:9">
      <c r="A42" s="5">
        <v>9</v>
      </c>
      <c r="B42" s="9" t="s">
        <v>21</v>
      </c>
      <c r="C42" s="5" t="s">
        <v>168</v>
      </c>
      <c r="D42" s="5" t="b">
        <f t="shared" si="0"/>
        <v>1</v>
      </c>
    </row>
    <row r="43" spans="1:9">
      <c r="A43" s="5">
        <v>10</v>
      </c>
      <c r="B43" s="9" t="s">
        <v>23</v>
      </c>
      <c r="C43" s="5" t="s">
        <v>169</v>
      </c>
      <c r="D43" s="5" t="b">
        <f t="shared" si="0"/>
        <v>1</v>
      </c>
    </row>
    <row r="44" spans="1:9">
      <c r="A44" s="5">
        <v>11</v>
      </c>
      <c r="B44" s="9" t="s">
        <v>25</v>
      </c>
      <c r="C44" s="5" t="s">
        <v>170</v>
      </c>
      <c r="D44" s="5" t="b">
        <f t="shared" si="0"/>
        <v>1</v>
      </c>
    </row>
    <row r="45" spans="1:9">
      <c r="A45" s="5">
        <v>12</v>
      </c>
      <c r="B45" s="9" t="s">
        <v>26</v>
      </c>
      <c r="C45" s="5" t="s">
        <v>171</v>
      </c>
      <c r="D45" s="5" t="b">
        <f t="shared" si="0"/>
        <v>1</v>
      </c>
    </row>
    <row r="46" spans="1:9">
      <c r="A46" s="5">
        <v>13</v>
      </c>
      <c r="B46" s="9" t="s">
        <v>27</v>
      </c>
      <c r="C46" s="5" t="s">
        <v>172</v>
      </c>
      <c r="D46" s="5" t="b">
        <f t="shared" si="0"/>
        <v>1</v>
      </c>
    </row>
    <row r="47" spans="1:9">
      <c r="A47" s="5">
        <v>14</v>
      </c>
      <c r="B47" s="9" t="s">
        <v>29</v>
      </c>
      <c r="C47" s="5" t="s">
        <v>173</v>
      </c>
      <c r="D47" s="5" t="b">
        <f t="shared" si="0"/>
        <v>1</v>
      </c>
    </row>
    <row r="48" spans="1:9">
      <c r="A48" s="5">
        <v>15</v>
      </c>
      <c r="B48" s="9" t="s">
        <v>31</v>
      </c>
      <c r="C48" s="5" t="s">
        <v>174</v>
      </c>
      <c r="D48" s="5" t="b">
        <f t="shared" si="0"/>
        <v>1</v>
      </c>
    </row>
    <row r="49" spans="1:4">
      <c r="A49" s="5">
        <v>16</v>
      </c>
      <c r="B49" s="9" t="s">
        <v>33</v>
      </c>
      <c r="C49" s="5" t="s">
        <v>175</v>
      </c>
      <c r="D49" s="5" t="b">
        <f t="shared" si="0"/>
        <v>1</v>
      </c>
    </row>
    <row r="50" spans="1:4">
      <c r="A50" s="5">
        <v>17</v>
      </c>
      <c r="B50" s="9" t="s">
        <v>36</v>
      </c>
      <c r="C50" s="5" t="s">
        <v>176</v>
      </c>
      <c r="D50" s="5" t="b">
        <f t="shared" si="0"/>
        <v>1</v>
      </c>
    </row>
    <row r="51" spans="1:4">
      <c r="A51" s="5">
        <v>18</v>
      </c>
      <c r="B51" s="9" t="s">
        <v>37</v>
      </c>
      <c r="C51" s="5" t="s">
        <v>177</v>
      </c>
      <c r="D51" s="5" t="b">
        <f t="shared" si="0"/>
        <v>1</v>
      </c>
    </row>
    <row r="52" spans="1:4">
      <c r="A52" s="5">
        <v>19</v>
      </c>
      <c r="B52" s="9" t="s">
        <v>39</v>
      </c>
      <c r="C52" s="5" t="s">
        <v>178</v>
      </c>
      <c r="D52" s="5" t="b">
        <f t="shared" si="0"/>
        <v>1</v>
      </c>
    </row>
    <row r="53" spans="1:4">
      <c r="A53" s="5">
        <v>20</v>
      </c>
      <c r="B53" s="9" t="s">
        <v>41</v>
      </c>
      <c r="C53" s="5" t="s">
        <v>179</v>
      </c>
      <c r="D53" s="5" t="b">
        <f t="shared" si="0"/>
        <v>1</v>
      </c>
    </row>
    <row r="54" spans="1:4">
      <c r="A54" s="5">
        <v>21</v>
      </c>
      <c r="B54" s="9" t="s">
        <v>43</v>
      </c>
      <c r="C54" s="5" t="s">
        <v>180</v>
      </c>
      <c r="D54" s="5" t="b">
        <f t="shared" si="0"/>
        <v>1</v>
      </c>
    </row>
    <row r="55" spans="1:4">
      <c r="A55" s="5">
        <v>22</v>
      </c>
      <c r="B55" s="9" t="s">
        <v>45</v>
      </c>
      <c r="C55" s="5" t="s">
        <v>181</v>
      </c>
      <c r="D55" s="5" t="b">
        <f t="shared" si="0"/>
        <v>1</v>
      </c>
    </row>
    <row r="56" spans="1:4">
      <c r="A56" s="5">
        <v>23</v>
      </c>
      <c r="B56" s="9" t="s">
        <v>46</v>
      </c>
      <c r="C56" s="5" t="s">
        <v>182</v>
      </c>
      <c r="D56" s="5" t="b">
        <f t="shared" si="0"/>
        <v>1</v>
      </c>
    </row>
    <row r="57" spans="1:4">
      <c r="A57" s="5">
        <v>24</v>
      </c>
      <c r="B57" s="9" t="s">
        <v>47</v>
      </c>
      <c r="C57" s="5" t="s">
        <v>183</v>
      </c>
      <c r="D57" s="5" t="b">
        <f t="shared" si="0"/>
        <v>1</v>
      </c>
    </row>
    <row r="58" spans="1:4">
      <c r="A58" s="5">
        <v>25</v>
      </c>
      <c r="B58" s="9" t="s">
        <v>49</v>
      </c>
      <c r="C58" s="5" t="s">
        <v>184</v>
      </c>
      <c r="D58" s="5" t="b">
        <f>B58=C58</f>
        <v>1</v>
      </c>
    </row>
    <row r="59" spans="1:4">
      <c r="A59" s="5">
        <v>26</v>
      </c>
      <c r="B59" s="9" t="s">
        <v>51</v>
      </c>
      <c r="C59" s="5" t="s">
        <v>185</v>
      </c>
      <c r="D59" s="5" t="b">
        <f t="shared" si="0"/>
        <v>1</v>
      </c>
    </row>
    <row r="60" spans="1:4">
      <c r="A60" s="5">
        <v>27</v>
      </c>
      <c r="B60" s="9" t="s">
        <v>53</v>
      </c>
      <c r="C60" s="5" t="s">
        <v>186</v>
      </c>
      <c r="D60" s="5" t="b">
        <f t="shared" si="0"/>
        <v>1</v>
      </c>
    </row>
    <row r="61" spans="1:4">
      <c r="A61" s="5">
        <v>28</v>
      </c>
      <c r="B61" s="9" t="s">
        <v>54</v>
      </c>
      <c r="C61" s="5" t="s">
        <v>187</v>
      </c>
      <c r="D61" s="5" t="b">
        <f t="shared" si="0"/>
        <v>1</v>
      </c>
    </row>
    <row r="62" spans="1:4">
      <c r="A62" s="5">
        <v>29</v>
      </c>
      <c r="B62" s="9" t="s">
        <v>55</v>
      </c>
      <c r="C62" s="5" t="s">
        <v>188</v>
      </c>
      <c r="D62" s="5" t="b">
        <f t="shared" si="0"/>
        <v>1</v>
      </c>
    </row>
    <row r="63" spans="1:4">
      <c r="A63" s="5">
        <v>30</v>
      </c>
      <c r="B63" s="9" t="s">
        <v>56</v>
      </c>
      <c r="C63" s="5" t="s">
        <v>189</v>
      </c>
      <c r="D63" s="5" t="b">
        <f t="shared" si="0"/>
        <v>1</v>
      </c>
    </row>
    <row r="64" spans="1:4">
      <c r="A64" s="5">
        <v>31</v>
      </c>
      <c r="B64" s="9" t="s">
        <v>57</v>
      </c>
      <c r="C64" s="5" t="s">
        <v>190</v>
      </c>
      <c r="D64" s="5" t="b">
        <f t="shared" si="0"/>
        <v>1</v>
      </c>
    </row>
    <row r="65" spans="1:4">
      <c r="A65" s="5">
        <v>32</v>
      </c>
      <c r="B65" s="9" t="s">
        <v>58</v>
      </c>
      <c r="C65" s="5" t="s">
        <v>191</v>
      </c>
      <c r="D65" s="5" t="b">
        <f t="shared" si="0"/>
        <v>1</v>
      </c>
    </row>
    <row r="66" spans="1:4">
      <c r="A66" s="5">
        <v>33</v>
      </c>
      <c r="B66" s="9" t="s">
        <v>59</v>
      </c>
      <c r="C66" s="5" t="s">
        <v>192</v>
      </c>
      <c r="D66" s="5" t="b">
        <f t="shared" si="0"/>
        <v>1</v>
      </c>
    </row>
    <row r="67" spans="1:4">
      <c r="A67" s="5">
        <v>34</v>
      </c>
      <c r="B67" s="9" t="s">
        <v>60</v>
      </c>
      <c r="C67" s="5" t="s">
        <v>193</v>
      </c>
      <c r="D67" s="5" t="b">
        <f t="shared" si="0"/>
        <v>1</v>
      </c>
    </row>
    <row r="68" spans="1:4">
      <c r="A68" s="5">
        <v>35</v>
      </c>
      <c r="B68" s="9" t="s">
        <v>61</v>
      </c>
      <c r="C68" s="5" t="s">
        <v>194</v>
      </c>
      <c r="D68" s="5" t="b">
        <f t="shared" si="0"/>
        <v>1</v>
      </c>
    </row>
    <row r="69" spans="1:4">
      <c r="A69" s="5">
        <v>36</v>
      </c>
      <c r="B69" s="9" t="s">
        <v>63</v>
      </c>
      <c r="C69" s="5" t="s">
        <v>195</v>
      </c>
      <c r="D69" s="5" t="b">
        <f t="shared" si="0"/>
        <v>1</v>
      </c>
    </row>
    <row r="70" spans="1:4">
      <c r="A70" s="5">
        <v>37</v>
      </c>
      <c r="B70" s="9" t="s">
        <v>65</v>
      </c>
      <c r="C70" s="5" t="s">
        <v>196</v>
      </c>
      <c r="D70" s="5" t="b">
        <f t="shared" si="0"/>
        <v>1</v>
      </c>
    </row>
    <row r="71" spans="1:4">
      <c r="A71" s="5">
        <v>38</v>
      </c>
      <c r="B71" s="9" t="s">
        <v>66</v>
      </c>
      <c r="C71" s="5" t="s">
        <v>197</v>
      </c>
      <c r="D71" s="5" t="b">
        <f t="shared" si="0"/>
        <v>1</v>
      </c>
    </row>
    <row r="72" spans="1:4">
      <c r="A72" s="5">
        <v>39</v>
      </c>
      <c r="B72" s="9" t="s">
        <v>67</v>
      </c>
      <c r="C72" s="5" t="s">
        <v>198</v>
      </c>
      <c r="D72" s="5" t="b">
        <f t="shared" si="0"/>
        <v>1</v>
      </c>
    </row>
    <row r="73" spans="1:4">
      <c r="A73" s="5">
        <v>40</v>
      </c>
      <c r="B73" s="9" t="s">
        <v>68</v>
      </c>
      <c r="C73" s="5" t="s">
        <v>199</v>
      </c>
      <c r="D73" s="5" t="b">
        <f t="shared" si="0"/>
        <v>1</v>
      </c>
    </row>
    <row r="74" spans="1:4">
      <c r="A74" s="5">
        <v>41</v>
      </c>
      <c r="B74" s="9" t="s">
        <v>69</v>
      </c>
      <c r="C74" s="5" t="s">
        <v>200</v>
      </c>
      <c r="D74" s="5" t="b">
        <f t="shared" si="0"/>
        <v>1</v>
      </c>
    </row>
    <row r="75" spans="1:4">
      <c r="A75" s="5">
        <v>42</v>
      </c>
      <c r="B75" s="9" t="s">
        <v>70</v>
      </c>
      <c r="C75" s="5" t="s">
        <v>201</v>
      </c>
      <c r="D75" s="5" t="b">
        <f t="shared" si="0"/>
        <v>1</v>
      </c>
    </row>
    <row r="76" spans="1:4">
      <c r="A76" s="5">
        <v>43</v>
      </c>
      <c r="B76" s="9" t="s">
        <v>71</v>
      </c>
      <c r="C76" s="5" t="s">
        <v>202</v>
      </c>
      <c r="D76" s="5" t="b">
        <f t="shared" si="0"/>
        <v>1</v>
      </c>
    </row>
    <row r="77" spans="1:4">
      <c r="A77" s="5">
        <v>44</v>
      </c>
      <c r="B77" s="9" t="s">
        <v>72</v>
      </c>
      <c r="C77" s="5" t="s">
        <v>203</v>
      </c>
      <c r="D77" s="5" t="b">
        <f>B77=C77</f>
        <v>1</v>
      </c>
    </row>
    <row r="78" spans="1:4">
      <c r="A78" s="5">
        <v>45</v>
      </c>
      <c r="B78" s="9" t="s">
        <v>73</v>
      </c>
      <c r="C78" s="5" t="s">
        <v>204</v>
      </c>
      <c r="D78" s="5" t="b">
        <f t="shared" si="0"/>
        <v>1</v>
      </c>
    </row>
    <row r="79" spans="1:4">
      <c r="A79" s="5">
        <v>46</v>
      </c>
      <c r="B79" s="9" t="s">
        <v>75</v>
      </c>
      <c r="C79" s="5" t="s">
        <v>205</v>
      </c>
      <c r="D79" s="5" t="b">
        <f t="shared" si="0"/>
        <v>1</v>
      </c>
    </row>
    <row r="80" spans="1:4">
      <c r="A80" s="5">
        <v>47</v>
      </c>
      <c r="B80" s="9" t="s">
        <v>77</v>
      </c>
      <c r="C80" s="5" t="s">
        <v>206</v>
      </c>
      <c r="D80" s="5" t="b">
        <f t="shared" si="0"/>
        <v>1</v>
      </c>
    </row>
    <row r="81" spans="1:4">
      <c r="A81" s="5">
        <v>48</v>
      </c>
      <c r="B81" s="9" t="s">
        <v>79</v>
      </c>
      <c r="C81" s="5" t="s">
        <v>207</v>
      </c>
      <c r="D81" s="5" t="b">
        <f t="shared" si="0"/>
        <v>1</v>
      </c>
    </row>
    <row r="82" spans="1:4">
      <c r="A82" s="5">
        <v>49</v>
      </c>
      <c r="B82" s="9" t="s">
        <v>81</v>
      </c>
      <c r="C82" s="5" t="s">
        <v>208</v>
      </c>
      <c r="D82" s="5" t="b">
        <f t="shared" si="0"/>
        <v>1</v>
      </c>
    </row>
    <row r="83" spans="1:4">
      <c r="A83" s="5">
        <v>50</v>
      </c>
      <c r="B83" s="9" t="s">
        <v>83</v>
      </c>
      <c r="C83" s="5" t="s">
        <v>209</v>
      </c>
      <c r="D83" s="5" t="b">
        <f t="shared" si="0"/>
        <v>1</v>
      </c>
    </row>
    <row r="84" spans="1:4">
      <c r="A84" s="5">
        <v>51</v>
      </c>
      <c r="B84" s="9" t="s">
        <v>85</v>
      </c>
      <c r="C84" s="5" t="s">
        <v>210</v>
      </c>
      <c r="D84" s="5" t="b">
        <f t="shared" si="0"/>
        <v>1</v>
      </c>
    </row>
    <row r="85" spans="1:4">
      <c r="A85" s="5">
        <v>52</v>
      </c>
      <c r="B85" s="9" t="s">
        <v>87</v>
      </c>
      <c r="C85" s="5" t="s">
        <v>211</v>
      </c>
      <c r="D85" s="5" t="b">
        <f t="shared" si="0"/>
        <v>1</v>
      </c>
    </row>
    <row r="86" spans="1:4">
      <c r="A86" s="5">
        <v>53</v>
      </c>
      <c r="B86" s="9" t="s">
        <v>89</v>
      </c>
      <c r="C86" s="5" t="s">
        <v>212</v>
      </c>
      <c r="D86" s="5" t="b">
        <f t="shared" si="0"/>
        <v>1</v>
      </c>
    </row>
    <row r="87" spans="1:4">
      <c r="A87" s="5">
        <v>54</v>
      </c>
      <c r="B87" s="9" t="s">
        <v>91</v>
      </c>
      <c r="C87" s="5" t="s">
        <v>213</v>
      </c>
      <c r="D87" s="5" t="b">
        <f t="shared" si="0"/>
        <v>1</v>
      </c>
    </row>
    <row r="88" spans="1:4">
      <c r="A88" s="5">
        <v>55</v>
      </c>
      <c r="B88" s="9" t="s">
        <v>92</v>
      </c>
      <c r="C88" s="5" t="s">
        <v>214</v>
      </c>
      <c r="D88" s="5" t="b">
        <f t="shared" si="0"/>
        <v>1</v>
      </c>
    </row>
    <row r="89" spans="1:4">
      <c r="A89" s="5">
        <v>56</v>
      </c>
      <c r="B89" s="9" t="s">
        <v>93</v>
      </c>
      <c r="C89" s="5" t="s">
        <v>215</v>
      </c>
      <c r="D89" s="5" t="b">
        <f t="shared" si="0"/>
        <v>1</v>
      </c>
    </row>
    <row r="90" spans="1:4">
      <c r="A90" s="5">
        <v>57</v>
      </c>
      <c r="B90" s="9" t="s">
        <v>94</v>
      </c>
      <c r="C90" s="5" t="s">
        <v>216</v>
      </c>
      <c r="D90" s="5" t="b">
        <f t="shared" si="0"/>
        <v>1</v>
      </c>
    </row>
    <row r="91" spans="1:4">
      <c r="A91" s="5">
        <v>58</v>
      </c>
      <c r="B91" s="9" t="s">
        <v>95</v>
      </c>
      <c r="C91" s="5" t="s">
        <v>217</v>
      </c>
      <c r="D91" s="5" t="b">
        <f t="shared" si="0"/>
        <v>1</v>
      </c>
    </row>
    <row r="92" spans="1:4">
      <c r="A92" s="5">
        <v>59</v>
      </c>
      <c r="B92" s="9" t="s">
        <v>96</v>
      </c>
      <c r="C92" s="5" t="s">
        <v>218</v>
      </c>
      <c r="D92" s="5" t="b">
        <f t="shared" si="0"/>
        <v>1</v>
      </c>
    </row>
    <row r="93" spans="1:4">
      <c r="A93" s="5">
        <v>60</v>
      </c>
      <c r="B93" s="9" t="s">
        <v>97</v>
      </c>
      <c r="C93" s="5" t="s">
        <v>219</v>
      </c>
      <c r="D93" s="5" t="b">
        <f t="shared" si="0"/>
        <v>1</v>
      </c>
    </row>
    <row r="94" spans="1:4">
      <c r="A94" s="5">
        <v>61</v>
      </c>
      <c r="B94" s="9" t="s">
        <v>98</v>
      </c>
      <c r="C94" s="5" t="s">
        <v>220</v>
      </c>
      <c r="D94" s="5" t="b">
        <f t="shared" si="0"/>
        <v>1</v>
      </c>
    </row>
    <row r="95" spans="1:4">
      <c r="A95" s="5">
        <v>62</v>
      </c>
      <c r="B95" s="9" t="s">
        <v>99</v>
      </c>
      <c r="C95" s="5" t="s">
        <v>221</v>
      </c>
      <c r="D95" s="5" t="b">
        <f t="shared" si="0"/>
        <v>1</v>
      </c>
    </row>
    <row r="96" spans="1:4">
      <c r="A96" s="5">
        <v>63</v>
      </c>
      <c r="B96" s="9" t="s">
        <v>100</v>
      </c>
      <c r="C96" s="5" t="s">
        <v>222</v>
      </c>
      <c r="D96" s="5" t="b">
        <f t="shared" si="0"/>
        <v>1</v>
      </c>
    </row>
    <row r="97" spans="1:4">
      <c r="A97" s="5">
        <v>64</v>
      </c>
      <c r="B97" s="9" t="s">
        <v>101</v>
      </c>
      <c r="C97" s="5" t="s">
        <v>223</v>
      </c>
      <c r="D97" s="5" t="b">
        <f t="shared" si="0"/>
        <v>1</v>
      </c>
    </row>
    <row r="98" spans="1:4">
      <c r="A98" s="5">
        <v>65</v>
      </c>
      <c r="B98" s="9" t="s">
        <v>102</v>
      </c>
      <c r="C98" s="5" t="s">
        <v>224</v>
      </c>
      <c r="D98" s="5" t="b">
        <f t="shared" si="0"/>
        <v>1</v>
      </c>
    </row>
    <row r="99" spans="1:4">
      <c r="A99" s="5">
        <v>66</v>
      </c>
      <c r="B99" s="9" t="s">
        <v>103</v>
      </c>
      <c r="C99" s="5" t="s">
        <v>225</v>
      </c>
      <c r="D99" s="5" t="b">
        <f t="shared" ref="D99" si="1">B99=C99</f>
        <v>1</v>
      </c>
    </row>
    <row r="100" spans="1:4">
      <c r="A100" s="5">
        <v>67</v>
      </c>
      <c r="B100" s="9" t="s">
        <v>104</v>
      </c>
      <c r="C100" s="5" t="s">
        <v>226</v>
      </c>
      <c r="D100" s="5" t="b">
        <f>B100=C100</f>
        <v>1</v>
      </c>
    </row>
    <row r="101" spans="1:4">
      <c r="A101" s="5">
        <v>68</v>
      </c>
      <c r="B101" s="9" t="s">
        <v>105</v>
      </c>
      <c r="C101" s="5" t="s">
        <v>227</v>
      </c>
      <c r="D101" s="5" t="b">
        <f t="shared" ref="D101:D118" si="2">B101=C101</f>
        <v>1</v>
      </c>
    </row>
    <row r="102" spans="1:4">
      <c r="A102" s="5">
        <v>69</v>
      </c>
      <c r="B102" s="9" t="s">
        <v>106</v>
      </c>
      <c r="C102" s="5" t="s">
        <v>228</v>
      </c>
      <c r="D102" s="5" t="b">
        <f t="shared" si="2"/>
        <v>1</v>
      </c>
    </row>
    <row r="103" spans="1:4">
      <c r="A103" s="5">
        <v>70</v>
      </c>
      <c r="B103" s="9" t="s">
        <v>107</v>
      </c>
      <c r="C103" s="5" t="s">
        <v>229</v>
      </c>
      <c r="D103" s="5" t="b">
        <f t="shared" si="2"/>
        <v>1</v>
      </c>
    </row>
    <row r="104" spans="1:4">
      <c r="A104" s="5">
        <v>71</v>
      </c>
      <c r="B104" s="9" t="s">
        <v>108</v>
      </c>
      <c r="C104" s="5" t="s">
        <v>230</v>
      </c>
      <c r="D104" s="5" t="b">
        <f t="shared" si="2"/>
        <v>1</v>
      </c>
    </row>
    <row r="105" spans="1:4">
      <c r="A105" s="5">
        <v>72</v>
      </c>
      <c r="B105" s="9" t="s">
        <v>109</v>
      </c>
      <c r="C105" s="5" t="s">
        <v>231</v>
      </c>
      <c r="D105" s="5" t="b">
        <f t="shared" si="2"/>
        <v>1</v>
      </c>
    </row>
    <row r="106" spans="1:4">
      <c r="A106" s="5">
        <v>73</v>
      </c>
      <c r="B106" s="9" t="s">
        <v>110</v>
      </c>
      <c r="C106" s="5" t="s">
        <v>232</v>
      </c>
      <c r="D106" s="5" t="b">
        <f t="shared" si="2"/>
        <v>1</v>
      </c>
    </row>
    <row r="107" spans="1:4">
      <c r="A107" s="5">
        <v>74</v>
      </c>
      <c r="B107" s="9" t="s">
        <v>111</v>
      </c>
      <c r="C107" s="5" t="s">
        <v>233</v>
      </c>
      <c r="D107" s="5" t="b">
        <f t="shared" si="2"/>
        <v>1</v>
      </c>
    </row>
    <row r="108" spans="1:4">
      <c r="A108" s="5">
        <v>75</v>
      </c>
      <c r="B108" s="9" t="s">
        <v>112</v>
      </c>
      <c r="C108" s="5" t="s">
        <v>234</v>
      </c>
      <c r="D108" s="5" t="b">
        <f t="shared" si="2"/>
        <v>1</v>
      </c>
    </row>
    <row r="109" spans="1:4">
      <c r="A109" s="5">
        <v>76</v>
      </c>
      <c r="B109" s="9" t="s">
        <v>113</v>
      </c>
      <c r="C109" s="5" t="s">
        <v>235</v>
      </c>
      <c r="D109" s="5" t="b">
        <f t="shared" si="2"/>
        <v>1</v>
      </c>
    </row>
    <row r="110" spans="1:4">
      <c r="A110" s="5">
        <v>77</v>
      </c>
      <c r="B110" s="9" t="s">
        <v>114</v>
      </c>
      <c r="C110" s="5" t="s">
        <v>236</v>
      </c>
      <c r="D110" s="5" t="b">
        <f t="shared" si="2"/>
        <v>1</v>
      </c>
    </row>
    <row r="111" spans="1:4">
      <c r="A111" s="5">
        <v>78</v>
      </c>
      <c r="B111" s="9" t="s">
        <v>115</v>
      </c>
      <c r="C111" s="5" t="s">
        <v>237</v>
      </c>
      <c r="D111" s="5" t="b">
        <f t="shared" si="2"/>
        <v>1</v>
      </c>
    </row>
    <row r="112" spans="1:4">
      <c r="A112" s="5">
        <v>79</v>
      </c>
      <c r="B112" s="9" t="s">
        <v>116</v>
      </c>
      <c r="C112" s="5" t="s">
        <v>238</v>
      </c>
      <c r="D112" s="5" t="b">
        <f t="shared" si="2"/>
        <v>1</v>
      </c>
    </row>
    <row r="113" spans="1:4">
      <c r="A113" s="5">
        <v>80</v>
      </c>
      <c r="B113" s="9" t="s">
        <v>117</v>
      </c>
      <c r="C113" s="5" t="s">
        <v>239</v>
      </c>
      <c r="D113" s="5" t="b">
        <f t="shared" si="2"/>
        <v>1</v>
      </c>
    </row>
    <row r="114" spans="1:4">
      <c r="A114" s="5">
        <v>81</v>
      </c>
      <c r="B114" s="9" t="s">
        <v>118</v>
      </c>
      <c r="C114" s="5" t="s">
        <v>240</v>
      </c>
      <c r="D114" s="5" t="b">
        <f t="shared" si="2"/>
        <v>1</v>
      </c>
    </row>
    <row r="115" spans="1:4">
      <c r="A115" s="5">
        <v>82</v>
      </c>
      <c r="B115" s="9" t="s">
        <v>119</v>
      </c>
      <c r="C115" s="5" t="s">
        <v>241</v>
      </c>
      <c r="D115" s="5" t="b">
        <f t="shared" si="2"/>
        <v>1</v>
      </c>
    </row>
    <row r="116" spans="1:4">
      <c r="A116" s="5">
        <v>83</v>
      </c>
      <c r="B116" s="9" t="s">
        <v>120</v>
      </c>
      <c r="C116" s="5" t="s">
        <v>242</v>
      </c>
      <c r="D116" s="5" t="b">
        <f t="shared" si="2"/>
        <v>1</v>
      </c>
    </row>
    <row r="117" spans="1:4">
      <c r="A117" s="5">
        <v>84</v>
      </c>
      <c r="B117" s="9" t="s">
        <v>121</v>
      </c>
      <c r="C117" s="5" t="s">
        <v>243</v>
      </c>
      <c r="D117" s="5" t="b">
        <f t="shared" si="2"/>
        <v>1</v>
      </c>
    </row>
    <row r="118" spans="1:4">
      <c r="A118" s="5">
        <v>85</v>
      </c>
      <c r="B118" s="9" t="s">
        <v>122</v>
      </c>
      <c r="C118" s="5" t="s">
        <v>244</v>
      </c>
      <c r="D118" s="5" t="b">
        <f t="shared" si="2"/>
        <v>1</v>
      </c>
    </row>
    <row r="119" spans="1:4">
      <c r="A119" s="5">
        <v>86</v>
      </c>
      <c r="B119" s="9" t="s">
        <v>123</v>
      </c>
      <c r="C119" s="5" t="s">
        <v>245</v>
      </c>
      <c r="D119" s="5" t="b">
        <f>B119=C119</f>
        <v>1</v>
      </c>
    </row>
    <row r="120" spans="1:4">
      <c r="A120" s="5">
        <v>87</v>
      </c>
      <c r="B120" s="9" t="s">
        <v>124</v>
      </c>
      <c r="C120" s="5" t="s">
        <v>246</v>
      </c>
      <c r="D120" s="5" t="b">
        <f t="shared" ref="D120:D140" si="3">B120=C120</f>
        <v>1</v>
      </c>
    </row>
    <row r="121" spans="1:4">
      <c r="A121" s="5">
        <v>88</v>
      </c>
      <c r="B121" s="9" t="s">
        <v>125</v>
      </c>
      <c r="C121" s="5" t="s">
        <v>247</v>
      </c>
      <c r="D121" s="5" t="b">
        <f t="shared" si="3"/>
        <v>1</v>
      </c>
    </row>
    <row r="122" spans="1:4">
      <c r="A122" s="5">
        <v>89</v>
      </c>
      <c r="B122" s="9" t="s">
        <v>126</v>
      </c>
      <c r="C122" s="5" t="s">
        <v>248</v>
      </c>
      <c r="D122" s="5" t="b">
        <f t="shared" si="3"/>
        <v>1</v>
      </c>
    </row>
    <row r="123" spans="1:4">
      <c r="A123" s="5">
        <v>90</v>
      </c>
      <c r="B123" s="9" t="s">
        <v>127</v>
      </c>
      <c r="C123" s="5" t="s">
        <v>249</v>
      </c>
      <c r="D123" s="5" t="b">
        <f t="shared" si="3"/>
        <v>1</v>
      </c>
    </row>
    <row r="124" spans="1:4">
      <c r="A124" s="5">
        <v>91</v>
      </c>
      <c r="B124" s="9" t="s">
        <v>128</v>
      </c>
      <c r="C124" s="5" t="s">
        <v>250</v>
      </c>
      <c r="D124" s="5" t="b">
        <f t="shared" si="3"/>
        <v>1</v>
      </c>
    </row>
    <row r="125" spans="1:4">
      <c r="A125" s="5">
        <v>92</v>
      </c>
      <c r="B125" s="9" t="s">
        <v>129</v>
      </c>
      <c r="C125" s="5" t="s">
        <v>251</v>
      </c>
      <c r="D125" s="5" t="b">
        <f t="shared" si="3"/>
        <v>1</v>
      </c>
    </row>
    <row r="126" spans="1:4">
      <c r="A126" s="5">
        <v>93</v>
      </c>
      <c r="B126" s="9" t="s">
        <v>130</v>
      </c>
      <c r="C126" s="5" t="s">
        <v>252</v>
      </c>
      <c r="D126" s="5" t="b">
        <f t="shared" si="3"/>
        <v>1</v>
      </c>
    </row>
    <row r="127" spans="1:4">
      <c r="A127" s="5">
        <v>94</v>
      </c>
      <c r="B127" s="9" t="s">
        <v>131</v>
      </c>
      <c r="C127" s="5" t="s">
        <v>253</v>
      </c>
      <c r="D127" s="5" t="b">
        <f t="shared" si="3"/>
        <v>1</v>
      </c>
    </row>
    <row r="128" spans="1:4">
      <c r="A128" s="5">
        <v>95</v>
      </c>
      <c r="B128" s="9" t="s">
        <v>132</v>
      </c>
      <c r="C128" s="5" t="s">
        <v>254</v>
      </c>
      <c r="D128" s="5" t="b">
        <f t="shared" si="3"/>
        <v>1</v>
      </c>
    </row>
    <row r="129" spans="1:4">
      <c r="A129" s="5">
        <v>96</v>
      </c>
      <c r="B129" s="9" t="s">
        <v>133</v>
      </c>
      <c r="C129" s="5" t="s">
        <v>255</v>
      </c>
      <c r="D129" s="5" t="b">
        <f t="shared" si="3"/>
        <v>1</v>
      </c>
    </row>
    <row r="130" spans="1:4">
      <c r="A130" s="5">
        <v>97</v>
      </c>
      <c r="B130" s="9" t="s">
        <v>134</v>
      </c>
      <c r="C130" s="5" t="s">
        <v>256</v>
      </c>
      <c r="D130" s="5" t="b">
        <f t="shared" si="3"/>
        <v>1</v>
      </c>
    </row>
    <row r="131" spans="1:4">
      <c r="A131" s="5">
        <v>98</v>
      </c>
      <c r="B131" s="9" t="s">
        <v>135</v>
      </c>
      <c r="C131" s="5" t="s">
        <v>257</v>
      </c>
      <c r="D131" s="5" t="b">
        <f t="shared" si="3"/>
        <v>1</v>
      </c>
    </row>
    <row r="132" spans="1:4">
      <c r="A132" s="5">
        <v>99</v>
      </c>
      <c r="B132" s="9" t="s">
        <v>136</v>
      </c>
      <c r="C132" s="5" t="s">
        <v>258</v>
      </c>
      <c r="D132" s="5" t="b">
        <f t="shared" si="3"/>
        <v>1</v>
      </c>
    </row>
    <row r="133" spans="1:4">
      <c r="A133" s="5">
        <v>100</v>
      </c>
      <c r="B133" s="9" t="s">
        <v>137</v>
      </c>
      <c r="C133" s="5" t="s">
        <v>259</v>
      </c>
      <c r="D133" s="5" t="b">
        <f t="shared" si="3"/>
        <v>1</v>
      </c>
    </row>
    <row r="134" spans="1:4">
      <c r="A134" s="5">
        <v>101</v>
      </c>
      <c r="B134" s="9" t="s">
        <v>139</v>
      </c>
      <c r="C134" s="5" t="s">
        <v>260</v>
      </c>
      <c r="D134" s="5" t="b">
        <f t="shared" si="3"/>
        <v>1</v>
      </c>
    </row>
    <row r="135" spans="1:4">
      <c r="A135" s="5">
        <v>102</v>
      </c>
      <c r="B135" s="9" t="s">
        <v>140</v>
      </c>
      <c r="C135" s="5" t="s">
        <v>261</v>
      </c>
      <c r="D135" s="5" t="b">
        <f t="shared" si="3"/>
        <v>1</v>
      </c>
    </row>
    <row r="136" spans="1:4">
      <c r="A136" s="5">
        <v>103</v>
      </c>
      <c r="B136" s="9" t="s">
        <v>141</v>
      </c>
      <c r="C136" s="5" t="s">
        <v>262</v>
      </c>
      <c r="D136" s="5" t="b">
        <f t="shared" si="3"/>
        <v>1</v>
      </c>
    </row>
    <row r="137" spans="1:4">
      <c r="A137" s="5">
        <v>104</v>
      </c>
      <c r="B137" s="9" t="s">
        <v>142</v>
      </c>
      <c r="C137" s="5" t="s">
        <v>263</v>
      </c>
      <c r="D137" s="5" t="b">
        <f t="shared" si="3"/>
        <v>1</v>
      </c>
    </row>
    <row r="138" spans="1:4">
      <c r="A138" s="5">
        <v>105</v>
      </c>
      <c r="B138" s="9" t="s">
        <v>143</v>
      </c>
      <c r="C138" s="5" t="s">
        <v>264</v>
      </c>
      <c r="D138" s="5" t="b">
        <f t="shared" si="3"/>
        <v>1</v>
      </c>
    </row>
    <row r="139" spans="1:4">
      <c r="A139" s="5">
        <v>106</v>
      </c>
      <c r="B139" s="9" t="s">
        <v>144</v>
      </c>
      <c r="C139" s="5" t="s">
        <v>265</v>
      </c>
      <c r="D139" s="5" t="b">
        <f t="shared" si="3"/>
        <v>1</v>
      </c>
    </row>
    <row r="140" spans="1:4">
      <c r="A140" s="5">
        <v>107</v>
      </c>
      <c r="B140" s="9" t="s">
        <v>147</v>
      </c>
      <c r="C140" s="5" t="s">
        <v>266</v>
      </c>
      <c r="D140" s="5" t="b">
        <f t="shared" si="3"/>
        <v>1</v>
      </c>
    </row>
    <row r="141" spans="1:4">
      <c r="A141" s="5">
        <v>108</v>
      </c>
      <c r="B141" s="9" t="s">
        <v>148</v>
      </c>
      <c r="C141" s="5" t="s">
        <v>267</v>
      </c>
      <c r="D141" s="5" t="b">
        <f>B141=C141</f>
        <v>1</v>
      </c>
    </row>
    <row r="142" spans="1:4">
      <c r="A142" s="5">
        <v>109</v>
      </c>
      <c r="B142" s="9" t="s">
        <v>149</v>
      </c>
      <c r="C142" s="5" t="s">
        <v>268</v>
      </c>
      <c r="D142" s="5" t="b">
        <f t="shared" ref="D142:D148" si="4">B142=C142</f>
        <v>1</v>
      </c>
    </row>
    <row r="143" spans="1:4">
      <c r="A143" s="5">
        <v>110</v>
      </c>
      <c r="B143" s="9" t="s">
        <v>150</v>
      </c>
      <c r="C143" s="5" t="s">
        <v>269</v>
      </c>
      <c r="D143" s="5" t="b">
        <f t="shared" si="4"/>
        <v>1</v>
      </c>
    </row>
    <row r="144" spans="1:4">
      <c r="A144" s="5">
        <v>111</v>
      </c>
      <c r="B144" s="9" t="s">
        <v>151</v>
      </c>
      <c r="C144" s="5" t="s">
        <v>270</v>
      </c>
      <c r="D144" s="5" t="b">
        <f t="shared" si="4"/>
        <v>1</v>
      </c>
    </row>
    <row r="145" spans="1:4">
      <c r="A145" s="5">
        <v>112</v>
      </c>
      <c r="B145" s="9" t="s">
        <v>152</v>
      </c>
      <c r="C145" s="5" t="s">
        <v>271</v>
      </c>
      <c r="D145" s="5" t="b">
        <f t="shared" si="4"/>
        <v>1</v>
      </c>
    </row>
    <row r="146" spans="1:4">
      <c r="A146" s="5">
        <v>113</v>
      </c>
      <c r="B146" s="9" t="s">
        <v>153</v>
      </c>
      <c r="C146" s="5" t="s">
        <v>272</v>
      </c>
      <c r="D146" s="5" t="b">
        <f t="shared" si="4"/>
        <v>1</v>
      </c>
    </row>
    <row r="147" spans="1:4">
      <c r="A147" s="5">
        <v>114</v>
      </c>
      <c r="B147" s="9" t="s">
        <v>155</v>
      </c>
      <c r="C147" s="5" t="s">
        <v>273</v>
      </c>
      <c r="D147" s="5" t="b">
        <f t="shared" si="4"/>
        <v>1</v>
      </c>
    </row>
    <row r="148" spans="1:4">
      <c r="A148" s="5">
        <v>115</v>
      </c>
      <c r="B148" s="9" t="s">
        <v>157</v>
      </c>
      <c r="C148" s="5" t="s">
        <v>274</v>
      </c>
      <c r="D148" s="5" t="b">
        <f t="shared" si="4"/>
        <v>1</v>
      </c>
    </row>
  </sheetData>
  <mergeCells count="3">
    <mergeCell ref="H33:I33"/>
    <mergeCell ref="F34:G34"/>
    <mergeCell ref="H34:I3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018F-420B-E347-A1CD-46DE6AA389A2}">
  <dimension ref="A1:N152"/>
  <sheetViews>
    <sheetView workbookViewId="0">
      <selection activeCell="A9" sqref="A9"/>
    </sheetView>
  </sheetViews>
  <sheetFormatPr baseColWidth="10" defaultRowHeight="16"/>
  <cols>
    <col min="1" max="5" width="30.83203125" customWidth="1"/>
  </cols>
  <sheetData>
    <row r="1" spans="1:14">
      <c r="A1" s="10" t="s">
        <v>298</v>
      </c>
    </row>
    <row r="3" spans="1:14">
      <c r="A3" s="1" t="s">
        <v>295</v>
      </c>
      <c r="N3" s="1"/>
    </row>
    <row r="4" spans="1:14">
      <c r="A4" t="s">
        <v>0</v>
      </c>
    </row>
    <row r="7" spans="1:14" ht="17">
      <c r="A7" s="25" t="s">
        <v>309</v>
      </c>
    </row>
    <row r="8" spans="1:14">
      <c r="A8" s="26" t="str">
        <f>IF(COUNTIF(F38:F152, TRUE) = COUNTA(F38:F152), "PASSED", "FAILED")</f>
        <v>PASSED</v>
      </c>
    </row>
    <row r="37" spans="1:8">
      <c r="A37" s="11" t="s">
        <v>1</v>
      </c>
      <c r="B37" s="11" t="s">
        <v>2</v>
      </c>
      <c r="C37" s="11" t="s">
        <v>3</v>
      </c>
      <c r="D37" s="11" t="s">
        <v>4</v>
      </c>
      <c r="E37" s="12" t="s">
        <v>5</v>
      </c>
      <c r="F37" s="11" t="s">
        <v>302</v>
      </c>
      <c r="G37" s="27"/>
      <c r="H37" s="27"/>
    </row>
    <row r="38" spans="1:8">
      <c r="A38" s="9" t="s">
        <v>6</v>
      </c>
      <c r="B38" s="16" t="s">
        <v>7</v>
      </c>
      <c r="C38" s="13" t="s">
        <v>8</v>
      </c>
      <c r="D38" s="13">
        <v>25</v>
      </c>
      <c r="E38" s="5"/>
      <c r="F38" s="5"/>
      <c r="G38" s="28"/>
      <c r="H38" s="28"/>
    </row>
    <row r="39" spans="1:8">
      <c r="A39" s="9" t="s">
        <v>9</v>
      </c>
      <c r="B39" s="16" t="s">
        <v>10</v>
      </c>
      <c r="C39" s="13" t="s">
        <v>8</v>
      </c>
      <c r="D39" s="13">
        <v>10</v>
      </c>
      <c r="E39" s="5"/>
      <c r="F39" s="5"/>
      <c r="G39" s="28"/>
      <c r="H39" s="28"/>
    </row>
    <row r="40" spans="1:8">
      <c r="A40" s="9" t="s">
        <v>11</v>
      </c>
      <c r="B40" s="16" t="s">
        <v>278</v>
      </c>
      <c r="C40" s="13" t="s">
        <v>8</v>
      </c>
      <c r="D40" s="13">
        <v>200</v>
      </c>
      <c r="E40" s="5"/>
      <c r="F40" s="5"/>
      <c r="G40" s="28"/>
      <c r="H40" s="28"/>
    </row>
    <row r="41" spans="1:8">
      <c r="A41" s="9" t="s">
        <v>12</v>
      </c>
      <c r="B41" s="16" t="s">
        <v>13</v>
      </c>
      <c r="C41" s="13" t="s">
        <v>8</v>
      </c>
      <c r="D41" s="13">
        <v>200</v>
      </c>
      <c r="E41" s="5"/>
      <c r="F41" s="5"/>
      <c r="G41" s="28"/>
      <c r="H41" s="28"/>
    </row>
    <row r="42" spans="1:8">
      <c r="A42" s="9" t="s">
        <v>14</v>
      </c>
      <c r="B42" s="16" t="s">
        <v>15</v>
      </c>
      <c r="C42" s="13" t="s">
        <v>8</v>
      </c>
      <c r="D42" s="13">
        <v>20</v>
      </c>
      <c r="E42" s="5"/>
      <c r="F42" s="5"/>
      <c r="G42" s="28"/>
      <c r="H42" s="28"/>
    </row>
    <row r="43" spans="1:8">
      <c r="A43" s="9" t="s">
        <v>16</v>
      </c>
      <c r="B43" s="16" t="s">
        <v>17</v>
      </c>
      <c r="C43" s="13" t="s">
        <v>8</v>
      </c>
      <c r="D43" s="13">
        <v>120</v>
      </c>
      <c r="E43" s="5"/>
      <c r="F43" s="5"/>
      <c r="G43" s="28"/>
      <c r="H43" s="28"/>
    </row>
    <row r="44" spans="1:8">
      <c r="A44" s="9" t="s">
        <v>18</v>
      </c>
      <c r="B44" s="16" t="s">
        <v>19</v>
      </c>
      <c r="C44" s="13" t="s">
        <v>8</v>
      </c>
      <c r="D44" s="13">
        <v>50</v>
      </c>
      <c r="E44" s="5"/>
      <c r="F44" s="5"/>
      <c r="G44" s="28"/>
      <c r="H44" s="28"/>
    </row>
    <row r="45" spans="1:8">
      <c r="A45" s="9" t="s">
        <v>20</v>
      </c>
      <c r="B45" s="16" t="s">
        <v>19</v>
      </c>
      <c r="C45" s="13" t="s">
        <v>8</v>
      </c>
      <c r="D45" s="13">
        <v>60</v>
      </c>
      <c r="E45" s="5"/>
      <c r="F45" s="5"/>
      <c r="G45" s="28"/>
      <c r="H45" s="28"/>
    </row>
    <row r="46" spans="1:8">
      <c r="A46" s="9" t="s">
        <v>21</v>
      </c>
      <c r="B46" s="16" t="s">
        <v>22</v>
      </c>
      <c r="C46" s="13" t="s">
        <v>8</v>
      </c>
      <c r="D46" s="13">
        <v>20</v>
      </c>
      <c r="E46" s="5"/>
      <c r="F46" s="5"/>
      <c r="G46" s="28"/>
      <c r="H46" s="28"/>
    </row>
    <row r="47" spans="1:8">
      <c r="A47" s="9" t="s">
        <v>23</v>
      </c>
      <c r="B47" s="16" t="s">
        <v>24</v>
      </c>
      <c r="C47" s="13" t="s">
        <v>8</v>
      </c>
      <c r="D47" s="13">
        <v>120</v>
      </c>
      <c r="E47" s="5"/>
      <c r="F47" s="5"/>
      <c r="G47" s="28"/>
      <c r="H47" s="28"/>
    </row>
    <row r="48" spans="1:8">
      <c r="A48" s="9" t="s">
        <v>25</v>
      </c>
      <c r="B48" s="16" t="s">
        <v>19</v>
      </c>
      <c r="C48" s="13" t="s">
        <v>8</v>
      </c>
      <c r="D48" s="13">
        <v>50</v>
      </c>
      <c r="E48" s="5"/>
      <c r="F48" s="5"/>
      <c r="G48" s="28"/>
      <c r="H48" s="28"/>
    </row>
    <row r="49" spans="1:8">
      <c r="A49" s="9" t="s">
        <v>26</v>
      </c>
      <c r="B49" s="16" t="s">
        <v>19</v>
      </c>
      <c r="C49" s="13" t="s">
        <v>8</v>
      </c>
      <c r="D49" s="13">
        <v>60</v>
      </c>
      <c r="E49" s="5"/>
      <c r="F49" s="5"/>
      <c r="G49" s="28"/>
      <c r="H49" s="28"/>
    </row>
    <row r="50" spans="1:8">
      <c r="A50" s="9" t="s">
        <v>27</v>
      </c>
      <c r="B50" s="16" t="s">
        <v>28</v>
      </c>
      <c r="C50" s="13" t="s">
        <v>8</v>
      </c>
      <c r="D50" s="13">
        <v>10</v>
      </c>
      <c r="E50" s="5"/>
      <c r="F50" s="5"/>
      <c r="G50" s="28"/>
      <c r="H50" s="28"/>
    </row>
    <row r="51" spans="1:8">
      <c r="A51" s="9" t="s">
        <v>29</v>
      </c>
      <c r="B51" s="16" t="s">
        <v>30</v>
      </c>
      <c r="C51" s="13" t="s">
        <v>8</v>
      </c>
      <c r="D51" s="13">
        <v>50</v>
      </c>
      <c r="E51" s="5"/>
      <c r="F51" s="5"/>
      <c r="G51" s="28"/>
      <c r="H51" s="28"/>
    </row>
    <row r="52" spans="1:8">
      <c r="A52" s="9" t="s">
        <v>31</v>
      </c>
      <c r="B52" s="16" t="s">
        <v>32</v>
      </c>
      <c r="C52" s="13" t="s">
        <v>8</v>
      </c>
      <c r="D52" s="13">
        <v>50</v>
      </c>
      <c r="E52" s="5"/>
      <c r="F52" s="5"/>
      <c r="G52" s="28"/>
      <c r="H52" s="28"/>
    </row>
    <row r="53" spans="1:8">
      <c r="A53" s="9" t="s">
        <v>33</v>
      </c>
      <c r="B53" s="16" t="s">
        <v>34</v>
      </c>
      <c r="C53" s="13" t="s">
        <v>35</v>
      </c>
      <c r="D53" s="13">
        <v>10</v>
      </c>
      <c r="E53" s="5"/>
      <c r="F53" s="5"/>
      <c r="G53" s="28"/>
      <c r="H53" s="28"/>
    </row>
    <row r="54" spans="1:8">
      <c r="A54" s="9" t="s">
        <v>36</v>
      </c>
      <c r="B54" s="16" t="s">
        <v>34</v>
      </c>
      <c r="C54" s="13" t="s">
        <v>35</v>
      </c>
      <c r="D54" s="13">
        <v>10</v>
      </c>
      <c r="E54" s="5"/>
      <c r="F54" s="5"/>
      <c r="G54" s="28"/>
      <c r="H54" s="28"/>
    </row>
    <row r="55" spans="1:8">
      <c r="A55" s="9" t="s">
        <v>37</v>
      </c>
      <c r="B55" s="16" t="s">
        <v>38</v>
      </c>
      <c r="C55" s="13" t="s">
        <v>8</v>
      </c>
      <c r="D55" s="13">
        <v>50</v>
      </c>
      <c r="E55" s="5"/>
      <c r="F55" s="5"/>
      <c r="G55" s="28"/>
      <c r="H55" s="28"/>
    </row>
    <row r="56" spans="1:8">
      <c r="A56" s="9" t="s">
        <v>39</v>
      </c>
      <c r="B56" s="16" t="s">
        <v>40</v>
      </c>
      <c r="C56" s="13" t="s">
        <v>8</v>
      </c>
      <c r="D56" s="13">
        <v>100</v>
      </c>
      <c r="E56" s="5"/>
      <c r="F56" s="5"/>
      <c r="G56" s="28"/>
      <c r="H56" s="28"/>
    </row>
    <row r="57" spans="1:8">
      <c r="A57" s="9" t="s">
        <v>41</v>
      </c>
      <c r="B57" s="16" t="s">
        <v>42</v>
      </c>
      <c r="C57" s="13" t="s">
        <v>8</v>
      </c>
      <c r="D57" s="13">
        <v>50</v>
      </c>
      <c r="E57" s="5"/>
      <c r="F57" s="5"/>
      <c r="G57" s="28"/>
      <c r="H57" s="28"/>
    </row>
    <row r="58" spans="1:8" ht="45">
      <c r="A58" s="9" t="s">
        <v>43</v>
      </c>
      <c r="B58" s="16" t="s">
        <v>44</v>
      </c>
      <c r="C58" s="13" t="s">
        <v>8</v>
      </c>
      <c r="D58" s="13">
        <v>100</v>
      </c>
      <c r="E58" s="5"/>
      <c r="F58" s="5"/>
      <c r="G58" s="28"/>
      <c r="H58" s="28"/>
    </row>
    <row r="59" spans="1:8">
      <c r="A59" s="9" t="s">
        <v>45</v>
      </c>
      <c r="B59" s="16" t="s">
        <v>19</v>
      </c>
      <c r="C59" s="13" t="s">
        <v>8</v>
      </c>
      <c r="D59" s="13">
        <v>200</v>
      </c>
      <c r="E59" s="5"/>
      <c r="F59" s="5"/>
      <c r="G59" s="28"/>
      <c r="H59" s="28"/>
    </row>
    <row r="60" spans="1:8">
      <c r="A60" s="9" t="s">
        <v>46</v>
      </c>
      <c r="B60" s="16" t="s">
        <v>19</v>
      </c>
      <c r="C60" s="13" t="s">
        <v>8</v>
      </c>
      <c r="D60" s="13">
        <v>50</v>
      </c>
      <c r="E60" s="5"/>
      <c r="F60" s="5"/>
      <c r="G60" s="28"/>
      <c r="H60" s="28"/>
    </row>
    <row r="61" spans="1:8">
      <c r="A61" s="9" t="s">
        <v>47</v>
      </c>
      <c r="B61" s="16" t="s">
        <v>48</v>
      </c>
      <c r="C61" s="13" t="s">
        <v>8</v>
      </c>
      <c r="D61" s="13">
        <v>100</v>
      </c>
      <c r="E61" s="5"/>
      <c r="F61" s="5"/>
      <c r="G61" s="28"/>
      <c r="H61" s="28"/>
    </row>
    <row r="62" spans="1:8">
      <c r="A62" s="9" t="s">
        <v>49</v>
      </c>
      <c r="B62" s="16" t="s">
        <v>50</v>
      </c>
      <c r="C62" s="13" t="s">
        <v>8</v>
      </c>
      <c r="D62" s="13">
        <v>50</v>
      </c>
      <c r="E62" s="5"/>
      <c r="F62" s="5"/>
      <c r="G62" s="28"/>
      <c r="H62" s="28"/>
    </row>
    <row r="63" spans="1:8">
      <c r="A63" s="9" t="s">
        <v>51</v>
      </c>
      <c r="B63" s="16" t="s">
        <v>52</v>
      </c>
      <c r="C63" s="13" t="s">
        <v>8</v>
      </c>
      <c r="D63" s="13">
        <v>100</v>
      </c>
      <c r="E63" s="5"/>
      <c r="F63" s="5"/>
      <c r="G63" s="28"/>
      <c r="H63" s="28"/>
    </row>
    <row r="64" spans="1:8">
      <c r="A64" s="9" t="s">
        <v>53</v>
      </c>
      <c r="B64" s="16" t="s">
        <v>19</v>
      </c>
      <c r="C64" s="13" t="s">
        <v>8</v>
      </c>
      <c r="D64" s="13">
        <v>120</v>
      </c>
      <c r="E64" s="5"/>
      <c r="F64" s="5"/>
      <c r="G64" s="28"/>
      <c r="H64" s="28"/>
    </row>
    <row r="65" spans="1:8">
      <c r="A65" s="9" t="s">
        <v>54</v>
      </c>
      <c r="B65" s="16" t="s">
        <v>19</v>
      </c>
      <c r="C65" s="13" t="s">
        <v>8</v>
      </c>
      <c r="D65" s="13">
        <v>50</v>
      </c>
      <c r="E65" s="5"/>
      <c r="F65" s="5"/>
      <c r="G65" s="28"/>
      <c r="H65" s="28"/>
    </row>
    <row r="66" spans="1:8">
      <c r="A66" s="9" t="s">
        <v>55</v>
      </c>
      <c r="B66" s="16" t="s">
        <v>19</v>
      </c>
      <c r="C66" s="13" t="s">
        <v>8</v>
      </c>
      <c r="D66" s="13">
        <v>100</v>
      </c>
      <c r="E66" s="5"/>
      <c r="F66" s="5"/>
      <c r="G66" s="28"/>
      <c r="H66" s="28"/>
    </row>
    <row r="67" spans="1:8">
      <c r="A67" s="9" t="s">
        <v>56</v>
      </c>
      <c r="B67" s="16" t="s">
        <v>62</v>
      </c>
      <c r="C67" s="13" t="s">
        <v>8</v>
      </c>
      <c r="D67" s="13">
        <v>100</v>
      </c>
      <c r="E67" s="5"/>
      <c r="F67" s="5"/>
      <c r="G67" s="28"/>
      <c r="H67" s="28"/>
    </row>
    <row r="68" spans="1:8">
      <c r="A68" s="9" t="s">
        <v>57</v>
      </c>
      <c r="B68" s="16" t="s">
        <v>64</v>
      </c>
      <c r="C68" s="13" t="s">
        <v>8</v>
      </c>
      <c r="D68" s="13">
        <v>20</v>
      </c>
      <c r="E68" s="5"/>
      <c r="F68" s="5"/>
      <c r="G68" s="28"/>
      <c r="H68" s="28"/>
    </row>
    <row r="69" spans="1:8">
      <c r="A69" s="9" t="s">
        <v>58</v>
      </c>
      <c r="B69" s="16" t="s">
        <v>19</v>
      </c>
      <c r="C69" s="13" t="s">
        <v>8</v>
      </c>
      <c r="D69" s="13">
        <v>15</v>
      </c>
      <c r="E69" s="5"/>
      <c r="F69" s="5"/>
      <c r="G69" s="28"/>
      <c r="H69" s="28"/>
    </row>
    <row r="70" spans="1:8">
      <c r="A70" s="9" t="s">
        <v>59</v>
      </c>
      <c r="B70" s="16" t="s">
        <v>19</v>
      </c>
      <c r="C70" s="13" t="s">
        <v>8</v>
      </c>
      <c r="D70" s="13">
        <v>50</v>
      </c>
      <c r="E70" s="5"/>
      <c r="F70" s="5"/>
      <c r="G70" s="28"/>
      <c r="H70" s="28"/>
    </row>
    <row r="71" spans="1:8">
      <c r="A71" s="9" t="s">
        <v>60</v>
      </c>
      <c r="B71" s="16" t="s">
        <v>19</v>
      </c>
      <c r="C71" s="13" t="s">
        <v>8</v>
      </c>
      <c r="D71" s="13">
        <v>40</v>
      </c>
      <c r="E71" s="5"/>
      <c r="F71" s="5"/>
      <c r="G71" s="28"/>
      <c r="H71" s="28"/>
    </row>
    <row r="72" spans="1:8">
      <c r="A72" s="9" t="s">
        <v>61</v>
      </c>
      <c r="B72" s="16" t="s">
        <v>19</v>
      </c>
      <c r="C72" s="13" t="s">
        <v>8</v>
      </c>
      <c r="D72" s="13">
        <v>40</v>
      </c>
      <c r="E72" s="5"/>
      <c r="F72" s="5"/>
      <c r="G72" s="28"/>
      <c r="H72" s="28"/>
    </row>
    <row r="73" spans="1:8">
      <c r="A73" s="9" t="s">
        <v>63</v>
      </c>
      <c r="B73" s="16" t="s">
        <v>19</v>
      </c>
      <c r="C73" s="13" t="s">
        <v>8</v>
      </c>
      <c r="D73" s="13">
        <v>10</v>
      </c>
      <c r="E73" s="5"/>
      <c r="F73" s="5"/>
      <c r="G73" s="28"/>
      <c r="H73" s="28"/>
    </row>
    <row r="74" spans="1:8">
      <c r="A74" s="9" t="s">
        <v>65</v>
      </c>
      <c r="B74" s="16" t="s">
        <v>19</v>
      </c>
      <c r="C74" s="13" t="s">
        <v>8</v>
      </c>
      <c r="D74" s="13">
        <v>8</v>
      </c>
      <c r="E74" s="5"/>
      <c r="F74" s="5"/>
      <c r="G74" s="28"/>
      <c r="H74" s="28"/>
    </row>
    <row r="75" spans="1:8">
      <c r="A75" s="9" t="s">
        <v>66</v>
      </c>
      <c r="B75" s="16" t="s">
        <v>19</v>
      </c>
      <c r="C75" s="13" t="s">
        <v>8</v>
      </c>
      <c r="D75" s="13">
        <v>40</v>
      </c>
      <c r="E75" s="5"/>
      <c r="F75" s="5"/>
      <c r="G75" s="28"/>
      <c r="H75" s="28"/>
    </row>
    <row r="76" spans="1:8">
      <c r="A76" s="9" t="s">
        <v>67</v>
      </c>
      <c r="B76" s="16" t="s">
        <v>19</v>
      </c>
      <c r="C76" s="13" t="s">
        <v>8</v>
      </c>
      <c r="D76" s="13">
        <v>40</v>
      </c>
      <c r="E76" s="5"/>
      <c r="F76" s="5"/>
      <c r="G76" s="28"/>
      <c r="H76" s="28"/>
    </row>
    <row r="77" spans="1:8">
      <c r="A77" s="9" t="s">
        <v>68</v>
      </c>
      <c r="B77" s="16" t="s">
        <v>19</v>
      </c>
      <c r="C77" s="13" t="s">
        <v>8</v>
      </c>
      <c r="D77" s="13">
        <v>30</v>
      </c>
      <c r="E77" s="5"/>
      <c r="F77" s="5"/>
      <c r="G77" s="28"/>
      <c r="H77" s="28"/>
    </row>
    <row r="78" spans="1:8">
      <c r="A78" s="9" t="s">
        <v>69</v>
      </c>
      <c r="B78" s="16" t="s">
        <v>74</v>
      </c>
      <c r="C78" s="13" t="s">
        <v>8</v>
      </c>
      <c r="D78" s="13">
        <v>30</v>
      </c>
      <c r="E78" s="5"/>
      <c r="F78" s="5"/>
      <c r="G78" s="28"/>
      <c r="H78" s="28"/>
    </row>
    <row r="79" spans="1:8">
      <c r="A79" s="9" t="s">
        <v>70</v>
      </c>
      <c r="B79" s="16" t="s">
        <v>76</v>
      </c>
      <c r="C79" s="13" t="s">
        <v>8</v>
      </c>
      <c r="D79" s="13">
        <v>40</v>
      </c>
      <c r="E79" s="5"/>
      <c r="F79" s="5"/>
      <c r="G79" s="28"/>
      <c r="H79" s="28"/>
    </row>
    <row r="80" spans="1:8">
      <c r="A80" s="9" t="s">
        <v>71</v>
      </c>
      <c r="B80" s="16" t="s">
        <v>78</v>
      </c>
      <c r="C80" s="13" t="s">
        <v>8</v>
      </c>
      <c r="D80" s="13">
        <v>10</v>
      </c>
      <c r="E80" s="5"/>
      <c r="F80" s="5"/>
      <c r="G80" s="28"/>
      <c r="H80" s="28"/>
    </row>
    <row r="81" spans="1:8">
      <c r="A81" s="9" t="s">
        <v>72</v>
      </c>
      <c r="B81" s="16" t="s">
        <v>80</v>
      </c>
      <c r="C81" s="13" t="s">
        <v>8</v>
      </c>
      <c r="D81" s="13">
        <v>3</v>
      </c>
      <c r="E81" s="5"/>
      <c r="F81" s="5"/>
      <c r="G81" s="28"/>
      <c r="H81" s="28"/>
    </row>
    <row r="82" spans="1:8">
      <c r="A82" s="9" t="s">
        <v>73</v>
      </c>
      <c r="B82" s="16" t="s">
        <v>82</v>
      </c>
      <c r="C82" s="13" t="s">
        <v>8</v>
      </c>
      <c r="D82" s="13">
        <v>200</v>
      </c>
      <c r="E82" s="5"/>
      <c r="F82" s="5"/>
      <c r="G82" s="28"/>
      <c r="H82" s="28"/>
    </row>
    <row r="83" spans="1:8">
      <c r="A83" s="9" t="s">
        <v>75</v>
      </c>
      <c r="B83" s="16" t="s">
        <v>84</v>
      </c>
      <c r="C83" s="13" t="s">
        <v>8</v>
      </c>
      <c r="D83" s="13">
        <v>200</v>
      </c>
      <c r="E83" s="5"/>
      <c r="F83" s="5"/>
      <c r="G83" s="28"/>
      <c r="H83" s="28"/>
    </row>
    <row r="84" spans="1:8">
      <c r="A84" s="9" t="s">
        <v>77</v>
      </c>
      <c r="B84" s="16" t="s">
        <v>86</v>
      </c>
      <c r="C84" s="13" t="s">
        <v>8</v>
      </c>
      <c r="D84" s="13">
        <v>100</v>
      </c>
      <c r="E84" s="5"/>
      <c r="F84" s="5"/>
      <c r="G84" s="28"/>
      <c r="H84" s="28"/>
    </row>
    <row r="85" spans="1:8" ht="30">
      <c r="A85" s="9" t="s">
        <v>79</v>
      </c>
      <c r="B85" s="16" t="s">
        <v>88</v>
      </c>
      <c r="C85" s="13" t="s">
        <v>8</v>
      </c>
      <c r="D85" s="13">
        <v>20</v>
      </c>
      <c r="E85" s="5"/>
      <c r="F85" s="5"/>
      <c r="G85" s="28"/>
      <c r="H85" s="28"/>
    </row>
    <row r="86" spans="1:8">
      <c r="A86" s="9" t="s">
        <v>81</v>
      </c>
      <c r="B86" s="16" t="s">
        <v>90</v>
      </c>
      <c r="C86" s="13" t="s">
        <v>8</v>
      </c>
      <c r="D86" s="13">
        <v>15</v>
      </c>
      <c r="E86" s="5"/>
      <c r="F86" s="5"/>
      <c r="G86" s="28"/>
      <c r="H86" s="28"/>
    </row>
    <row r="87" spans="1:8">
      <c r="A87" s="9" t="s">
        <v>83</v>
      </c>
      <c r="B87" s="16" t="s">
        <v>19</v>
      </c>
      <c r="C87" s="13" t="s">
        <v>8</v>
      </c>
      <c r="D87" s="13">
        <v>10</v>
      </c>
      <c r="E87" s="5"/>
      <c r="F87" s="5"/>
      <c r="G87" s="28"/>
      <c r="H87" s="28"/>
    </row>
    <row r="88" spans="1:8">
      <c r="A88" s="9" t="s">
        <v>85</v>
      </c>
      <c r="B88" s="16" t="s">
        <v>19</v>
      </c>
      <c r="C88" s="13" t="s">
        <v>8</v>
      </c>
      <c r="D88" s="13">
        <v>40</v>
      </c>
      <c r="E88" s="5"/>
      <c r="F88" s="5"/>
      <c r="G88" s="28"/>
      <c r="H88" s="28"/>
    </row>
    <row r="89" spans="1:8">
      <c r="A89" s="9" t="s">
        <v>87</v>
      </c>
      <c r="B89" s="16" t="s">
        <v>19</v>
      </c>
      <c r="C89" s="13" t="s">
        <v>8</v>
      </c>
      <c r="D89" s="13">
        <v>40</v>
      </c>
      <c r="E89" s="5"/>
      <c r="F89" s="5"/>
      <c r="G89" s="28"/>
      <c r="H89" s="28"/>
    </row>
    <row r="90" spans="1:8">
      <c r="A90" s="9" t="s">
        <v>89</v>
      </c>
      <c r="B90" s="16" t="s">
        <v>19</v>
      </c>
      <c r="C90" s="13" t="s">
        <v>8</v>
      </c>
      <c r="D90" s="13">
        <v>10</v>
      </c>
      <c r="E90" s="5"/>
      <c r="F90" s="5"/>
      <c r="G90" s="28"/>
      <c r="H90" s="28"/>
    </row>
    <row r="91" spans="1:8">
      <c r="A91" s="9" t="s">
        <v>91</v>
      </c>
      <c r="B91" s="16" t="s">
        <v>19</v>
      </c>
      <c r="C91" s="13" t="s">
        <v>8</v>
      </c>
      <c r="D91" s="13">
        <v>8</v>
      </c>
      <c r="E91" s="5"/>
      <c r="F91" s="5"/>
      <c r="G91" s="28"/>
      <c r="H91" s="28"/>
    </row>
    <row r="92" spans="1:8">
      <c r="A92" s="9" t="s">
        <v>92</v>
      </c>
      <c r="B92" s="16" t="s">
        <v>19</v>
      </c>
      <c r="C92" s="13" t="s">
        <v>8</v>
      </c>
      <c r="D92" s="13">
        <v>40</v>
      </c>
      <c r="E92" s="5"/>
      <c r="F92" s="5"/>
      <c r="G92" s="28"/>
      <c r="H92" s="28"/>
    </row>
    <row r="93" spans="1:8">
      <c r="A93" s="9" t="s">
        <v>93</v>
      </c>
      <c r="B93" s="16" t="s">
        <v>19</v>
      </c>
      <c r="C93" s="13" t="s">
        <v>8</v>
      </c>
      <c r="D93" s="13">
        <v>40</v>
      </c>
      <c r="E93" s="5"/>
      <c r="F93" s="5"/>
      <c r="G93" s="28"/>
      <c r="H93" s="28"/>
    </row>
    <row r="94" spans="1:8">
      <c r="A94" s="9" t="s">
        <v>94</v>
      </c>
      <c r="B94" s="16" t="s">
        <v>19</v>
      </c>
      <c r="C94" s="13" t="s">
        <v>8</v>
      </c>
      <c r="D94" s="13">
        <v>30</v>
      </c>
      <c r="E94" s="5"/>
      <c r="F94" s="5"/>
      <c r="G94" s="28"/>
      <c r="H94" s="28"/>
    </row>
    <row r="95" spans="1:8">
      <c r="A95" s="9" t="s">
        <v>95</v>
      </c>
      <c r="B95" s="16" t="s">
        <v>19</v>
      </c>
      <c r="C95" s="13" t="s">
        <v>8</v>
      </c>
      <c r="D95" s="13">
        <v>30</v>
      </c>
      <c r="E95" s="5"/>
      <c r="F95" s="5"/>
      <c r="G95" s="28"/>
      <c r="H95" s="28"/>
    </row>
    <row r="96" spans="1:8">
      <c r="A96" s="9" t="s">
        <v>96</v>
      </c>
      <c r="B96" s="16" t="s">
        <v>19</v>
      </c>
      <c r="C96" s="13" t="s">
        <v>8</v>
      </c>
      <c r="D96" s="13">
        <v>40</v>
      </c>
      <c r="E96" s="5"/>
      <c r="F96" s="5"/>
      <c r="G96" s="28"/>
      <c r="H96" s="28"/>
    </row>
    <row r="97" spans="1:8">
      <c r="A97" s="9" t="s">
        <v>97</v>
      </c>
      <c r="B97" s="16" t="s">
        <v>19</v>
      </c>
      <c r="C97" s="13" t="s">
        <v>8</v>
      </c>
      <c r="D97" s="13">
        <v>10</v>
      </c>
      <c r="E97" s="5"/>
      <c r="F97" s="5"/>
      <c r="G97" s="28"/>
      <c r="H97" s="28"/>
    </row>
    <row r="98" spans="1:8">
      <c r="A98" s="9" t="s">
        <v>98</v>
      </c>
      <c r="B98" s="16" t="s">
        <v>19</v>
      </c>
      <c r="C98" s="13" t="s">
        <v>8</v>
      </c>
      <c r="D98" s="13">
        <v>3</v>
      </c>
      <c r="E98" s="5"/>
      <c r="F98" s="5"/>
      <c r="G98" s="28"/>
      <c r="H98" s="28"/>
    </row>
    <row r="99" spans="1:8">
      <c r="A99" s="9" t="s">
        <v>99</v>
      </c>
      <c r="B99" s="16" t="s">
        <v>19</v>
      </c>
      <c r="C99" s="13" t="s">
        <v>8</v>
      </c>
      <c r="D99" s="13">
        <v>200</v>
      </c>
      <c r="E99" s="5"/>
      <c r="F99" s="5"/>
      <c r="G99" s="28"/>
      <c r="H99" s="28"/>
    </row>
    <row r="100" spans="1:8">
      <c r="A100" s="9" t="s">
        <v>100</v>
      </c>
      <c r="B100" s="16" t="s">
        <v>19</v>
      </c>
      <c r="C100" s="13" t="s">
        <v>8</v>
      </c>
      <c r="D100" s="13">
        <v>200</v>
      </c>
      <c r="E100" s="5"/>
      <c r="F100" s="5"/>
      <c r="G100" s="28"/>
      <c r="H100" s="28"/>
    </row>
    <row r="101" spans="1:8">
      <c r="A101" s="9" t="s">
        <v>101</v>
      </c>
      <c r="B101" s="16" t="s">
        <v>19</v>
      </c>
      <c r="C101" s="13" t="s">
        <v>8</v>
      </c>
      <c r="D101" s="13">
        <v>100</v>
      </c>
      <c r="E101" s="5"/>
      <c r="F101" s="5"/>
      <c r="G101" s="28"/>
      <c r="H101" s="28"/>
    </row>
    <row r="102" spans="1:8">
      <c r="A102" s="9" t="s">
        <v>102</v>
      </c>
      <c r="B102" s="16" t="s">
        <v>19</v>
      </c>
      <c r="C102" s="13" t="s">
        <v>8</v>
      </c>
      <c r="D102" s="13">
        <v>20</v>
      </c>
      <c r="E102" s="5"/>
      <c r="F102" s="5"/>
      <c r="G102" s="28"/>
      <c r="H102" s="28"/>
    </row>
    <row r="103" spans="1:8">
      <c r="A103" s="9" t="s">
        <v>103</v>
      </c>
      <c r="B103" s="16" t="s">
        <v>19</v>
      </c>
      <c r="C103" s="13" t="s">
        <v>8</v>
      </c>
      <c r="D103" s="13">
        <v>15</v>
      </c>
      <c r="E103" s="5"/>
      <c r="F103" s="5"/>
      <c r="G103" s="28"/>
      <c r="H103" s="28"/>
    </row>
    <row r="104" spans="1:8">
      <c r="A104" s="9" t="s">
        <v>104</v>
      </c>
      <c r="B104" s="16" t="s">
        <v>19</v>
      </c>
      <c r="C104" s="13" t="s">
        <v>8</v>
      </c>
      <c r="D104" s="13">
        <v>10</v>
      </c>
      <c r="E104" s="5"/>
      <c r="F104" s="5"/>
      <c r="G104" s="28"/>
      <c r="H104" s="28"/>
    </row>
    <row r="105" spans="1:8">
      <c r="A105" s="9" t="s">
        <v>105</v>
      </c>
      <c r="B105" s="16" t="s">
        <v>19</v>
      </c>
      <c r="C105" s="13" t="s">
        <v>8</v>
      </c>
      <c r="D105" s="13">
        <v>40</v>
      </c>
      <c r="E105" s="5"/>
      <c r="F105" s="5"/>
      <c r="G105" s="28"/>
      <c r="H105" s="28"/>
    </row>
    <row r="106" spans="1:8">
      <c r="A106" s="9" t="s">
        <v>106</v>
      </c>
      <c r="B106" s="16" t="s">
        <v>19</v>
      </c>
      <c r="C106" s="13" t="s">
        <v>8</v>
      </c>
      <c r="D106" s="13">
        <v>40</v>
      </c>
      <c r="E106" s="5"/>
      <c r="F106" s="5"/>
      <c r="G106" s="28"/>
      <c r="H106" s="28"/>
    </row>
    <row r="107" spans="1:8">
      <c r="A107" s="9" t="s">
        <v>107</v>
      </c>
      <c r="B107" s="16" t="s">
        <v>19</v>
      </c>
      <c r="C107" s="13" t="s">
        <v>8</v>
      </c>
      <c r="D107" s="13">
        <v>10</v>
      </c>
      <c r="E107" s="5"/>
      <c r="F107" s="5"/>
      <c r="G107" s="28"/>
      <c r="H107" s="28"/>
    </row>
    <row r="108" spans="1:8">
      <c r="A108" s="9" t="s">
        <v>108</v>
      </c>
      <c r="B108" s="16" t="s">
        <v>19</v>
      </c>
      <c r="C108" s="13" t="s">
        <v>8</v>
      </c>
      <c r="D108" s="13">
        <v>8</v>
      </c>
      <c r="E108" s="5"/>
      <c r="F108" s="5"/>
      <c r="G108" s="28"/>
      <c r="H108" s="28"/>
    </row>
    <row r="109" spans="1:8">
      <c r="A109" s="9" t="s">
        <v>109</v>
      </c>
      <c r="B109" s="16" t="s">
        <v>19</v>
      </c>
      <c r="C109" s="13" t="s">
        <v>8</v>
      </c>
      <c r="D109" s="13">
        <v>40</v>
      </c>
      <c r="E109" s="5"/>
      <c r="F109" s="5"/>
      <c r="G109" s="28"/>
      <c r="H109" s="28"/>
    </row>
    <row r="110" spans="1:8">
      <c r="A110" s="9" t="s">
        <v>110</v>
      </c>
      <c r="B110" s="16" t="s">
        <v>19</v>
      </c>
      <c r="C110" s="13" t="s">
        <v>8</v>
      </c>
      <c r="D110" s="13">
        <v>40</v>
      </c>
      <c r="E110" s="5"/>
      <c r="F110" s="5"/>
      <c r="G110" s="28"/>
      <c r="H110" s="28"/>
    </row>
    <row r="111" spans="1:8">
      <c r="A111" s="9" t="s">
        <v>111</v>
      </c>
      <c r="B111" s="16" t="s">
        <v>19</v>
      </c>
      <c r="C111" s="13" t="s">
        <v>8</v>
      </c>
      <c r="D111" s="13">
        <v>30</v>
      </c>
      <c r="E111" s="5"/>
      <c r="F111" s="5"/>
      <c r="G111" s="28"/>
      <c r="H111" s="28"/>
    </row>
    <row r="112" spans="1:8">
      <c r="A112" s="9" t="s">
        <v>112</v>
      </c>
      <c r="B112" s="16" t="s">
        <v>19</v>
      </c>
      <c r="C112" s="13" t="s">
        <v>8</v>
      </c>
      <c r="D112" s="13">
        <v>30</v>
      </c>
      <c r="E112" s="5"/>
      <c r="F112" s="5"/>
      <c r="G112" s="28"/>
      <c r="H112" s="28"/>
    </row>
    <row r="113" spans="1:6">
      <c r="A113" s="9" t="s">
        <v>113</v>
      </c>
      <c r="B113" s="16" t="s">
        <v>19</v>
      </c>
      <c r="C113" s="13" t="s">
        <v>8</v>
      </c>
      <c r="D113" s="13">
        <v>30</v>
      </c>
      <c r="E113" s="5"/>
      <c r="F113" s="5"/>
    </row>
    <row r="114" spans="1:6">
      <c r="A114" s="9" t="s">
        <v>114</v>
      </c>
      <c r="B114" s="16" t="s">
        <v>19</v>
      </c>
      <c r="C114" s="13" t="s">
        <v>8</v>
      </c>
      <c r="D114" s="13">
        <v>10</v>
      </c>
      <c r="E114" s="5"/>
      <c r="F114" s="5"/>
    </row>
    <row r="115" spans="1:6">
      <c r="A115" s="9" t="s">
        <v>115</v>
      </c>
      <c r="B115" s="16" t="s">
        <v>19</v>
      </c>
      <c r="C115" s="13" t="s">
        <v>8</v>
      </c>
      <c r="D115" s="13">
        <v>3</v>
      </c>
      <c r="E115" s="5"/>
      <c r="F115" s="5"/>
    </row>
    <row r="116" spans="1:6">
      <c r="A116" s="9" t="s">
        <v>116</v>
      </c>
      <c r="B116" s="16" t="s">
        <v>19</v>
      </c>
      <c r="C116" s="13" t="s">
        <v>8</v>
      </c>
      <c r="D116" s="13">
        <v>200</v>
      </c>
      <c r="E116" s="5"/>
      <c r="F116" s="5"/>
    </row>
    <row r="117" spans="1:6">
      <c r="A117" s="9" t="s">
        <v>117</v>
      </c>
      <c r="B117" s="16" t="s">
        <v>19</v>
      </c>
      <c r="C117" s="13" t="s">
        <v>8</v>
      </c>
      <c r="D117" s="13">
        <v>200</v>
      </c>
      <c r="E117" s="5"/>
      <c r="F117" s="5"/>
    </row>
    <row r="118" spans="1:6">
      <c r="A118" s="9" t="s">
        <v>118</v>
      </c>
      <c r="B118" s="16" t="s">
        <v>19</v>
      </c>
      <c r="C118" s="13" t="s">
        <v>8</v>
      </c>
      <c r="D118" s="13">
        <v>50</v>
      </c>
      <c r="E118" s="5"/>
      <c r="F118" s="5"/>
    </row>
    <row r="119" spans="1:6">
      <c r="A119" s="9" t="s">
        <v>119</v>
      </c>
      <c r="B119" s="16" t="s">
        <v>19</v>
      </c>
      <c r="C119" s="13" t="s">
        <v>8</v>
      </c>
      <c r="D119" s="13">
        <v>30</v>
      </c>
      <c r="E119" s="5"/>
      <c r="F119" s="5"/>
    </row>
    <row r="120" spans="1:6">
      <c r="A120" s="9" t="s">
        <v>120</v>
      </c>
      <c r="B120" s="16" t="s">
        <v>19</v>
      </c>
      <c r="C120" s="13" t="s">
        <v>8</v>
      </c>
      <c r="D120" s="13">
        <v>50</v>
      </c>
      <c r="E120" s="5"/>
      <c r="F120" s="5"/>
    </row>
    <row r="121" spans="1:6">
      <c r="A121" s="9" t="s">
        <v>121</v>
      </c>
      <c r="B121" s="16" t="s">
        <v>19</v>
      </c>
      <c r="C121" s="13" t="s">
        <v>8</v>
      </c>
      <c r="D121" s="13">
        <v>50</v>
      </c>
      <c r="E121" s="5"/>
      <c r="F121" s="5"/>
    </row>
    <row r="122" spans="1:6">
      <c r="A122" s="9" t="s">
        <v>122</v>
      </c>
      <c r="B122" s="16" t="s">
        <v>19</v>
      </c>
      <c r="C122" s="13" t="s">
        <v>8</v>
      </c>
      <c r="D122" s="13">
        <v>50</v>
      </c>
      <c r="E122" s="5"/>
      <c r="F122" s="5"/>
    </row>
    <row r="123" spans="1:6">
      <c r="A123" s="9" t="s">
        <v>123</v>
      </c>
      <c r="B123" s="16" t="s">
        <v>19</v>
      </c>
      <c r="C123" s="13" t="s">
        <v>8</v>
      </c>
      <c r="D123" s="13">
        <v>50</v>
      </c>
      <c r="E123" s="5"/>
      <c r="F123" s="5"/>
    </row>
    <row r="124" spans="1:6">
      <c r="A124" s="9" t="s">
        <v>124</v>
      </c>
      <c r="B124" s="16" t="s">
        <v>19</v>
      </c>
      <c r="C124" s="13" t="s">
        <v>8</v>
      </c>
      <c r="D124" s="13">
        <v>3</v>
      </c>
      <c r="E124" s="5"/>
      <c r="F124" s="5"/>
    </row>
    <row r="125" spans="1:6">
      <c r="A125" s="9" t="s">
        <v>125</v>
      </c>
      <c r="B125" s="16" t="s">
        <v>19</v>
      </c>
      <c r="C125" s="13" t="s">
        <v>8</v>
      </c>
      <c r="D125" s="13">
        <v>50</v>
      </c>
      <c r="E125" s="5"/>
      <c r="F125" s="5"/>
    </row>
    <row r="126" spans="1:6">
      <c r="A126" s="9" t="s">
        <v>126</v>
      </c>
      <c r="B126" s="16" t="s">
        <v>19</v>
      </c>
      <c r="C126" s="13" t="s">
        <v>35</v>
      </c>
      <c r="D126" s="13">
        <v>10</v>
      </c>
      <c r="E126" s="5"/>
      <c r="F126" s="5"/>
    </row>
    <row r="127" spans="1:6">
      <c r="A127" s="9" t="s">
        <v>127</v>
      </c>
      <c r="B127" s="16" t="s">
        <v>19</v>
      </c>
      <c r="C127" s="13" t="s">
        <v>8</v>
      </c>
      <c r="D127" s="13">
        <v>200</v>
      </c>
      <c r="E127" s="5"/>
      <c r="F127" s="5"/>
    </row>
    <row r="128" spans="1:6">
      <c r="A128" s="9" t="s">
        <v>128</v>
      </c>
      <c r="B128" s="16" t="s">
        <v>19</v>
      </c>
      <c r="C128" s="13" t="s">
        <v>8</v>
      </c>
      <c r="D128" s="13">
        <v>50</v>
      </c>
      <c r="E128" s="5"/>
      <c r="F128" s="5"/>
    </row>
    <row r="129" spans="1:6">
      <c r="A129" s="9" t="s">
        <v>129</v>
      </c>
      <c r="B129" s="16" t="s">
        <v>19</v>
      </c>
      <c r="C129" s="13" t="s">
        <v>8</v>
      </c>
      <c r="D129" s="13">
        <v>50</v>
      </c>
      <c r="E129" s="5"/>
      <c r="F129" s="5"/>
    </row>
    <row r="130" spans="1:6">
      <c r="A130" s="9" t="s">
        <v>130</v>
      </c>
      <c r="B130" s="16" t="s">
        <v>19</v>
      </c>
      <c r="C130" s="13" t="s">
        <v>8</v>
      </c>
      <c r="D130" s="13">
        <v>50</v>
      </c>
      <c r="E130" s="5"/>
      <c r="F130" s="5"/>
    </row>
    <row r="131" spans="1:6">
      <c r="A131" s="9" t="s">
        <v>131</v>
      </c>
      <c r="B131" s="16" t="s">
        <v>19</v>
      </c>
      <c r="C131" s="13" t="s">
        <v>8</v>
      </c>
      <c r="D131" s="13">
        <v>100</v>
      </c>
      <c r="E131" s="5"/>
      <c r="F131" s="5"/>
    </row>
    <row r="132" spans="1:6">
      <c r="A132" s="9" t="s">
        <v>132</v>
      </c>
      <c r="B132" s="16" t="s">
        <v>19</v>
      </c>
      <c r="C132" s="13" t="s">
        <v>8</v>
      </c>
      <c r="D132" s="13">
        <v>50</v>
      </c>
      <c r="E132" s="5"/>
      <c r="F132" s="5"/>
    </row>
    <row r="133" spans="1:6">
      <c r="A133" s="9" t="s">
        <v>133</v>
      </c>
      <c r="B133" s="16" t="s">
        <v>19</v>
      </c>
      <c r="C133" s="13" t="s">
        <v>8</v>
      </c>
      <c r="D133" s="13">
        <v>500</v>
      </c>
      <c r="E133" s="5"/>
      <c r="F133" s="5"/>
    </row>
    <row r="134" spans="1:6">
      <c r="A134" s="9" t="s">
        <v>134</v>
      </c>
      <c r="B134" s="16" t="s">
        <v>279</v>
      </c>
      <c r="C134" s="13" t="s">
        <v>8</v>
      </c>
      <c r="D134" s="13">
        <v>50</v>
      </c>
      <c r="E134" s="5"/>
      <c r="F134" s="5"/>
    </row>
    <row r="135" spans="1:6">
      <c r="A135" s="9" t="s">
        <v>135</v>
      </c>
      <c r="B135" s="16" t="s">
        <v>280</v>
      </c>
      <c r="C135" s="13" t="s">
        <v>35</v>
      </c>
      <c r="D135" s="13">
        <v>10</v>
      </c>
      <c r="E135" s="5"/>
      <c r="F135" s="5"/>
    </row>
    <row r="136" spans="1:6">
      <c r="A136" s="9" t="s">
        <v>136</v>
      </c>
      <c r="B136" s="16" t="s">
        <v>300</v>
      </c>
      <c r="C136" s="13" t="s">
        <v>35</v>
      </c>
      <c r="D136" s="13">
        <v>10</v>
      </c>
      <c r="E136" s="5"/>
      <c r="F136" s="5"/>
    </row>
    <row r="137" spans="1:6">
      <c r="A137" s="9" t="s">
        <v>137</v>
      </c>
      <c r="B137" s="16" t="s">
        <v>301</v>
      </c>
      <c r="C137" s="13" t="s">
        <v>138</v>
      </c>
      <c r="D137" s="13"/>
      <c r="E137" s="5"/>
      <c r="F137" s="5"/>
    </row>
    <row r="138" spans="1:6">
      <c r="A138" s="9" t="s">
        <v>139</v>
      </c>
      <c r="B138" s="16" t="s">
        <v>281</v>
      </c>
      <c r="C138" s="13" t="s">
        <v>35</v>
      </c>
      <c r="D138" s="13">
        <v>1</v>
      </c>
      <c r="E138" s="5"/>
      <c r="F138" s="5"/>
    </row>
    <row r="139" spans="1:6">
      <c r="A139" s="9" t="s">
        <v>140</v>
      </c>
      <c r="B139" s="16" t="s">
        <v>154</v>
      </c>
      <c r="C139" s="13" t="s">
        <v>8</v>
      </c>
      <c r="D139" s="13">
        <v>50</v>
      </c>
      <c r="E139" s="5"/>
      <c r="F139" s="5"/>
    </row>
    <row r="140" spans="1:6">
      <c r="A140" s="9" t="s">
        <v>141</v>
      </c>
      <c r="B140" s="16" t="s">
        <v>282</v>
      </c>
      <c r="C140" s="13" t="s">
        <v>35</v>
      </c>
      <c r="D140" s="13">
        <v>10</v>
      </c>
      <c r="E140" s="5"/>
      <c r="F140" s="5"/>
    </row>
    <row r="141" spans="1:6">
      <c r="A141" s="9" t="s">
        <v>142</v>
      </c>
      <c r="B141" s="16" t="s">
        <v>283</v>
      </c>
      <c r="C141" s="13" t="s">
        <v>8</v>
      </c>
      <c r="D141" s="13">
        <v>10</v>
      </c>
      <c r="E141" s="5"/>
      <c r="F141" s="5"/>
    </row>
    <row r="142" spans="1:6">
      <c r="A142" s="9" t="s">
        <v>143</v>
      </c>
      <c r="B142" s="16" t="s">
        <v>284</v>
      </c>
      <c r="C142" s="13" t="s">
        <v>8</v>
      </c>
      <c r="D142" s="13">
        <v>500</v>
      </c>
      <c r="E142" s="5"/>
      <c r="F142" s="5"/>
    </row>
    <row r="143" spans="1:6">
      <c r="A143" s="18" t="s">
        <v>144</v>
      </c>
      <c r="B143" s="29" t="s">
        <v>299</v>
      </c>
      <c r="C143" s="19" t="s">
        <v>145</v>
      </c>
      <c r="D143" s="19" t="s">
        <v>146</v>
      </c>
      <c r="E143" s="5"/>
      <c r="F143" s="5" t="b">
        <v>1</v>
      </c>
    </row>
    <row r="144" spans="1:6">
      <c r="A144" s="9" t="s">
        <v>147</v>
      </c>
      <c r="B144" s="16" t="s">
        <v>19</v>
      </c>
      <c r="C144" s="13" t="s">
        <v>8</v>
      </c>
      <c r="D144" s="13">
        <v>200</v>
      </c>
      <c r="E144" s="5"/>
      <c r="F144" s="5"/>
    </row>
    <row r="145" spans="1:6">
      <c r="A145" s="9" t="s">
        <v>148</v>
      </c>
      <c r="B145" s="16" t="s">
        <v>285</v>
      </c>
      <c r="C145" s="13" t="s">
        <v>8</v>
      </c>
      <c r="D145" s="13">
        <v>50</v>
      </c>
      <c r="E145" s="5"/>
      <c r="F145" s="5"/>
    </row>
    <row r="146" spans="1:6">
      <c r="A146" s="9" t="s">
        <v>149</v>
      </c>
      <c r="B146" s="16" t="s">
        <v>286</v>
      </c>
      <c r="C146" s="13" t="s">
        <v>8</v>
      </c>
      <c r="D146" s="13">
        <v>10</v>
      </c>
      <c r="E146" s="5"/>
      <c r="F146" s="5"/>
    </row>
    <row r="147" spans="1:6">
      <c r="A147" s="9" t="s">
        <v>150</v>
      </c>
      <c r="B147" s="16" t="s">
        <v>287</v>
      </c>
      <c r="C147" s="13" t="s">
        <v>8</v>
      </c>
      <c r="D147" s="13">
        <v>5</v>
      </c>
      <c r="E147" s="5"/>
      <c r="F147" s="5"/>
    </row>
    <row r="148" spans="1:6">
      <c r="A148" s="9" t="s">
        <v>151</v>
      </c>
      <c r="B148" s="16" t="s">
        <v>288</v>
      </c>
      <c r="C148" s="13" t="s">
        <v>8</v>
      </c>
      <c r="D148" s="13">
        <v>5</v>
      </c>
      <c r="E148" s="5"/>
      <c r="F148" s="5"/>
    </row>
    <row r="149" spans="1:6">
      <c r="A149" s="9" t="s">
        <v>152</v>
      </c>
      <c r="B149" s="16" t="s">
        <v>19</v>
      </c>
      <c r="C149" s="13" t="s">
        <v>8</v>
      </c>
      <c r="D149" s="13">
        <v>30</v>
      </c>
      <c r="E149" s="5"/>
      <c r="F149" s="5"/>
    </row>
    <row r="150" spans="1:6">
      <c r="A150" s="9" t="s">
        <v>153</v>
      </c>
      <c r="B150" s="16" t="s">
        <v>289</v>
      </c>
      <c r="C150" s="13" t="s">
        <v>8</v>
      </c>
      <c r="D150" s="13">
        <v>10</v>
      </c>
      <c r="E150" s="5"/>
      <c r="F150" s="5"/>
    </row>
    <row r="151" spans="1:6">
      <c r="A151" s="9" t="s">
        <v>155</v>
      </c>
      <c r="B151" s="16" t="s">
        <v>156</v>
      </c>
      <c r="C151" s="13" t="s">
        <v>8</v>
      </c>
      <c r="D151" s="13">
        <v>50</v>
      </c>
      <c r="E151" s="5"/>
      <c r="F151" s="5"/>
    </row>
    <row r="152" spans="1:6">
      <c r="A152" s="9" t="s">
        <v>157</v>
      </c>
      <c r="B152" s="16" t="s">
        <v>158</v>
      </c>
      <c r="C152" s="13" t="s">
        <v>8</v>
      </c>
      <c r="D152" s="13">
        <v>11</v>
      </c>
      <c r="E152" s="5"/>
      <c r="F15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B30E-B06F-7E46-8770-DA25F6A84B6F}">
  <dimension ref="A1:DM166"/>
  <sheetViews>
    <sheetView tabSelected="1" workbookViewId="0">
      <selection activeCell="C7" sqref="C7"/>
    </sheetView>
  </sheetViews>
  <sheetFormatPr baseColWidth="10" defaultColWidth="30.83203125" defaultRowHeight="16"/>
  <sheetData>
    <row r="1" spans="1:117">
      <c r="A1" t="s">
        <v>304</v>
      </c>
    </row>
    <row r="3" spans="1:117">
      <c r="A3" s="1" t="s">
        <v>295</v>
      </c>
      <c r="B3" s="1"/>
    </row>
    <row r="4" spans="1:117">
      <c r="A4" t="s">
        <v>0</v>
      </c>
    </row>
    <row r="7" spans="1:117">
      <c r="A7" s="21" t="s">
        <v>309</v>
      </c>
    </row>
    <row r="8" spans="1:117">
      <c r="A8" s="26" t="str">
        <f>IF(COUNTIF(B11:B40, TRUE) = COUNTA(B11:B40), "PASSED", "FAILED")</f>
        <v>FAILED</v>
      </c>
    </row>
    <row r="11" spans="1:117" s="5" customFormat="1">
      <c r="A11" s="5">
        <v>1</v>
      </c>
      <c r="B11" s="4" t="b" cm="1">
        <f t="array" ref="B11">IF(AND(C1:DM1=TRUE), TRUE, FALSE)</f>
        <v>0</v>
      </c>
      <c r="C11" s="5" t="b" cm="1">
        <f t="array" ref="C11:DM11">'Pull Db Dbeaver '!A1:DK1='Pull Data File'!A1:DK1</f>
        <v>1</v>
      </c>
      <c r="D11" s="5" t="b">
        <v>1</v>
      </c>
      <c r="E11" s="5" t="b">
        <v>1</v>
      </c>
      <c r="F11" s="5" t="b">
        <v>1</v>
      </c>
      <c r="G11" s="5" t="b">
        <v>1</v>
      </c>
      <c r="H11" s="5" t="b">
        <v>1</v>
      </c>
      <c r="I11" s="5" t="b">
        <v>1</v>
      </c>
      <c r="J11" s="5" t="b">
        <v>1</v>
      </c>
      <c r="K11" s="5" t="b">
        <v>1</v>
      </c>
      <c r="L11" s="5" t="b">
        <v>1</v>
      </c>
      <c r="M11" s="5" t="b">
        <v>1</v>
      </c>
      <c r="N11" s="5" t="b">
        <v>1</v>
      </c>
      <c r="O11" s="5" t="b">
        <v>1</v>
      </c>
      <c r="P11" s="5" t="b">
        <v>1</v>
      </c>
      <c r="Q11" s="5" t="b">
        <v>1</v>
      </c>
      <c r="R11" s="5" t="b">
        <v>1</v>
      </c>
      <c r="S11" s="5" t="b">
        <v>1</v>
      </c>
      <c r="T11" s="5" t="b">
        <v>1</v>
      </c>
      <c r="U11" s="5" t="b">
        <v>1</v>
      </c>
      <c r="V11" s="5" t="b">
        <v>1</v>
      </c>
      <c r="W11" s="5" t="b">
        <v>1</v>
      </c>
      <c r="X11" s="5" t="b">
        <v>1</v>
      </c>
      <c r="Y11" s="5" t="b">
        <v>1</v>
      </c>
      <c r="Z11" s="5" t="b">
        <v>1</v>
      </c>
      <c r="AA11" s="5" t="b">
        <v>1</v>
      </c>
      <c r="AB11" s="5" t="b">
        <v>1</v>
      </c>
      <c r="AC11" s="5" t="b">
        <v>0</v>
      </c>
      <c r="AD11" s="5" t="b">
        <v>0</v>
      </c>
      <c r="AE11" s="5" t="b">
        <v>0</v>
      </c>
      <c r="AF11" s="5" t="b">
        <v>1</v>
      </c>
      <c r="AG11" s="5" t="b">
        <v>1</v>
      </c>
      <c r="AH11" s="5" t="b">
        <v>1</v>
      </c>
      <c r="AI11" s="5" t="b">
        <v>1</v>
      </c>
      <c r="AJ11" s="5" t="b">
        <v>1</v>
      </c>
      <c r="AK11" s="5" t="b">
        <v>1</v>
      </c>
      <c r="AL11" s="5" t="b">
        <v>1</v>
      </c>
      <c r="AM11" s="5" t="b">
        <v>1</v>
      </c>
      <c r="AN11" s="5" t="b">
        <v>1</v>
      </c>
      <c r="AO11" s="5" t="b">
        <v>1</v>
      </c>
      <c r="AP11" s="5" t="b">
        <v>1</v>
      </c>
      <c r="AQ11" s="5" t="b">
        <v>1</v>
      </c>
      <c r="AR11" s="5" t="b">
        <v>1</v>
      </c>
      <c r="AS11" s="5" t="b">
        <v>1</v>
      </c>
      <c r="AT11" s="5" t="b">
        <v>1</v>
      </c>
      <c r="AU11" s="5" t="b">
        <v>1</v>
      </c>
      <c r="AV11" s="5" t="b">
        <v>1</v>
      </c>
      <c r="AW11" s="5" t="b">
        <v>1</v>
      </c>
      <c r="AX11" s="5" t="b">
        <v>1</v>
      </c>
      <c r="AY11" s="5" t="b">
        <v>1</v>
      </c>
      <c r="AZ11" s="5" t="b">
        <v>1</v>
      </c>
      <c r="BA11" s="5" t="b">
        <v>1</v>
      </c>
      <c r="BB11" s="5" t="b">
        <v>1</v>
      </c>
      <c r="BC11" s="5" t="b">
        <v>1</v>
      </c>
      <c r="BD11" s="5" t="b">
        <v>1</v>
      </c>
      <c r="BE11" s="5" t="b">
        <v>1</v>
      </c>
      <c r="BF11" s="5" t="b">
        <v>1</v>
      </c>
      <c r="BG11" s="5" t="b">
        <v>1</v>
      </c>
      <c r="BH11" s="5" t="b">
        <v>1</v>
      </c>
      <c r="BI11" s="5" t="b">
        <v>1</v>
      </c>
      <c r="BJ11" s="5" t="b">
        <v>1</v>
      </c>
      <c r="BK11" s="5" t="b">
        <v>1</v>
      </c>
      <c r="BL11" s="5" t="b">
        <v>1</v>
      </c>
      <c r="BM11" s="5" t="b">
        <v>1</v>
      </c>
      <c r="BN11" s="5" t="b">
        <v>1</v>
      </c>
      <c r="BO11" s="5" t="b">
        <v>1</v>
      </c>
      <c r="BP11" s="5" t="b">
        <v>1</v>
      </c>
      <c r="BQ11" s="5" t="b">
        <v>1</v>
      </c>
      <c r="BR11" s="5" t="b">
        <v>1</v>
      </c>
      <c r="BS11" s="5" t="b">
        <v>1</v>
      </c>
      <c r="BT11" s="5" t="b">
        <v>1</v>
      </c>
      <c r="BU11" s="5" t="b">
        <v>1</v>
      </c>
      <c r="BV11" s="5" t="b">
        <v>1</v>
      </c>
      <c r="BW11" s="5" t="b">
        <v>1</v>
      </c>
      <c r="BX11" s="5" t="b">
        <v>1</v>
      </c>
      <c r="BY11" s="5" t="b">
        <v>1</v>
      </c>
      <c r="BZ11" s="5" t="b">
        <v>1</v>
      </c>
      <c r="CA11" s="5" t="b">
        <v>1</v>
      </c>
      <c r="CB11" s="5" t="b">
        <v>1</v>
      </c>
      <c r="CC11" s="5" t="b">
        <v>1</v>
      </c>
      <c r="CD11" s="5" t="b">
        <v>1</v>
      </c>
      <c r="CE11" s="5" t="b">
        <v>1</v>
      </c>
      <c r="CF11" s="5" t="b">
        <v>1</v>
      </c>
      <c r="CG11" s="5" t="b">
        <v>1</v>
      </c>
      <c r="CH11" s="5" t="b">
        <v>1</v>
      </c>
      <c r="CI11" s="5" t="b">
        <v>1</v>
      </c>
      <c r="CJ11" s="5" t="b">
        <v>1</v>
      </c>
      <c r="CK11" s="5" t="b">
        <v>1</v>
      </c>
      <c r="CL11" s="5" t="b">
        <v>1</v>
      </c>
      <c r="CM11" s="5" t="b">
        <v>1</v>
      </c>
      <c r="CN11" s="5" t="b">
        <v>0</v>
      </c>
      <c r="CO11" s="5" t="b">
        <v>0</v>
      </c>
      <c r="CP11" s="5" t="b">
        <v>0</v>
      </c>
      <c r="CQ11" s="5" t="b">
        <v>0</v>
      </c>
      <c r="CR11" s="5" t="b">
        <v>0</v>
      </c>
      <c r="CS11" s="5" t="b">
        <v>0</v>
      </c>
      <c r="CT11" s="5" t="b">
        <v>1</v>
      </c>
      <c r="CU11" s="5" t="b">
        <v>1</v>
      </c>
      <c r="CV11" s="5" t="b">
        <v>1</v>
      </c>
      <c r="CW11" s="5" t="b">
        <v>1</v>
      </c>
      <c r="CX11" s="5" t="b">
        <v>1</v>
      </c>
      <c r="CY11" s="5" t="b">
        <v>1</v>
      </c>
      <c r="CZ11" s="5" t="b">
        <v>1</v>
      </c>
      <c r="DA11" s="5" t="b">
        <v>1</v>
      </c>
      <c r="DB11" s="5" t="b">
        <v>1</v>
      </c>
      <c r="DC11" s="5" t="b">
        <v>1</v>
      </c>
      <c r="DD11" s="5" t="b">
        <v>1</v>
      </c>
      <c r="DE11" s="5" t="b">
        <v>1</v>
      </c>
      <c r="DF11" s="5" t="b">
        <v>1</v>
      </c>
      <c r="DG11" s="5" t="b">
        <v>1</v>
      </c>
      <c r="DH11" s="5" t="b">
        <v>1</v>
      </c>
      <c r="DI11" s="5" t="b">
        <v>1</v>
      </c>
      <c r="DJ11" s="5" t="b">
        <v>1</v>
      </c>
      <c r="DK11" s="5" t="b">
        <v>1</v>
      </c>
      <c r="DL11" s="5" t="b">
        <v>1</v>
      </c>
      <c r="DM11" s="5" t="b">
        <v>1</v>
      </c>
    </row>
    <row r="12" spans="1:117" s="5" customFormat="1">
      <c r="A12" s="5">
        <v>2</v>
      </c>
      <c r="B12" s="4" t="b" cm="1">
        <f t="array" ref="B12">IF(AND(C2:DM2=TRUE), TRUE, FALSE)</f>
        <v>0</v>
      </c>
      <c r="C12" s="5" t="b" cm="1">
        <f t="array" ref="C12:DM12">'Pull Db Dbeaver '!A2:DK2='Pull Data File'!A2:DK2</f>
        <v>1</v>
      </c>
      <c r="D12" s="5" t="b">
        <v>1</v>
      </c>
      <c r="E12" s="5" t="b">
        <v>1</v>
      </c>
      <c r="F12" s="5" t="b">
        <v>1</v>
      </c>
      <c r="G12" s="5" t="b">
        <v>1</v>
      </c>
      <c r="H12" s="5" t="b">
        <v>1</v>
      </c>
      <c r="I12" s="5" t="b">
        <v>1</v>
      </c>
      <c r="J12" s="5" t="b">
        <v>1</v>
      </c>
      <c r="K12" s="5" t="b">
        <v>1</v>
      </c>
      <c r="L12" s="5" t="b">
        <v>1</v>
      </c>
      <c r="M12" s="5" t="b">
        <v>1</v>
      </c>
      <c r="N12" s="5" t="b">
        <v>1</v>
      </c>
      <c r="O12" s="5" t="b">
        <v>1</v>
      </c>
      <c r="P12" s="5" t="b">
        <v>1</v>
      </c>
      <c r="Q12" s="5" t="b">
        <v>1</v>
      </c>
      <c r="R12" s="5" t="b">
        <v>1</v>
      </c>
      <c r="S12" s="5" t="b">
        <v>1</v>
      </c>
      <c r="T12" s="5" t="b">
        <v>1</v>
      </c>
      <c r="U12" s="5" t="b">
        <v>1</v>
      </c>
      <c r="V12" s="5" t="b">
        <v>1</v>
      </c>
      <c r="W12" s="5" t="b">
        <v>1</v>
      </c>
      <c r="X12" s="5" t="b">
        <v>1</v>
      </c>
      <c r="Y12" s="5" t="b">
        <v>1</v>
      </c>
      <c r="Z12" s="5" t="b">
        <v>1</v>
      </c>
      <c r="AA12" s="5" t="b">
        <v>1</v>
      </c>
      <c r="AB12" s="5" t="b">
        <v>1</v>
      </c>
      <c r="AC12" s="5" t="b">
        <v>0</v>
      </c>
      <c r="AD12" s="5" t="b">
        <v>0</v>
      </c>
      <c r="AE12" s="5" t="b">
        <v>0</v>
      </c>
      <c r="AF12" s="5" t="b">
        <v>1</v>
      </c>
      <c r="AG12" s="5" t="b">
        <v>1</v>
      </c>
      <c r="AH12" s="5" t="b">
        <v>1</v>
      </c>
      <c r="AI12" s="5" t="b">
        <v>1</v>
      </c>
      <c r="AJ12" s="5" t="b">
        <v>1</v>
      </c>
      <c r="AK12" s="5" t="b">
        <v>1</v>
      </c>
      <c r="AL12" s="5" t="b">
        <v>1</v>
      </c>
      <c r="AM12" s="5" t="b">
        <v>1</v>
      </c>
      <c r="AN12" s="5" t="b">
        <v>1</v>
      </c>
      <c r="AO12" s="5" t="b">
        <v>1</v>
      </c>
      <c r="AP12" s="5" t="b">
        <v>1</v>
      </c>
      <c r="AQ12" s="5" t="b">
        <v>1</v>
      </c>
      <c r="AR12" s="5" t="b">
        <v>1</v>
      </c>
      <c r="AS12" s="5" t="b">
        <v>1</v>
      </c>
      <c r="AT12" s="5" t="b">
        <v>1</v>
      </c>
      <c r="AU12" s="5" t="b">
        <v>1</v>
      </c>
      <c r="AV12" s="5" t="b">
        <v>1</v>
      </c>
      <c r="AW12" s="5" t="b">
        <v>1</v>
      </c>
      <c r="AX12" s="5" t="b">
        <v>1</v>
      </c>
      <c r="AY12" s="5" t="b">
        <v>1</v>
      </c>
      <c r="AZ12" s="5" t="b">
        <v>1</v>
      </c>
      <c r="BA12" s="5" t="b">
        <v>1</v>
      </c>
      <c r="BB12" s="5" t="b">
        <v>1</v>
      </c>
      <c r="BC12" s="5" t="b">
        <v>1</v>
      </c>
      <c r="BD12" s="5" t="b">
        <v>1</v>
      </c>
      <c r="BE12" s="5" t="b">
        <v>1</v>
      </c>
      <c r="BF12" s="5" t="b">
        <v>1</v>
      </c>
      <c r="BG12" s="5" t="b">
        <v>1</v>
      </c>
      <c r="BH12" s="5" t="b">
        <v>1</v>
      </c>
      <c r="BI12" s="5" t="b">
        <v>1</v>
      </c>
      <c r="BJ12" s="5" t="b">
        <v>1</v>
      </c>
      <c r="BK12" s="5" t="b">
        <v>1</v>
      </c>
      <c r="BL12" s="5" t="b">
        <v>1</v>
      </c>
      <c r="BM12" s="5" t="b">
        <v>1</v>
      </c>
      <c r="BN12" s="5" t="b">
        <v>1</v>
      </c>
      <c r="BO12" s="5" t="b">
        <v>1</v>
      </c>
      <c r="BP12" s="5" t="b">
        <v>1</v>
      </c>
      <c r="BQ12" s="5" t="b">
        <v>1</v>
      </c>
      <c r="BR12" s="5" t="b">
        <v>1</v>
      </c>
      <c r="BS12" s="5" t="b">
        <v>1</v>
      </c>
      <c r="BT12" s="5" t="b">
        <v>1</v>
      </c>
      <c r="BU12" s="5" t="b">
        <v>1</v>
      </c>
      <c r="BV12" s="5" t="b">
        <v>1</v>
      </c>
      <c r="BW12" s="5" t="b">
        <v>1</v>
      </c>
      <c r="BX12" s="5" t="b">
        <v>1</v>
      </c>
      <c r="BY12" s="5" t="b">
        <v>1</v>
      </c>
      <c r="BZ12" s="5" t="b">
        <v>1</v>
      </c>
      <c r="CA12" s="5" t="b">
        <v>1</v>
      </c>
      <c r="CB12" s="5" t="b">
        <v>1</v>
      </c>
      <c r="CC12" s="5" t="b">
        <v>1</v>
      </c>
      <c r="CD12" s="5" t="b">
        <v>1</v>
      </c>
      <c r="CE12" s="5" t="b">
        <v>1</v>
      </c>
      <c r="CF12" s="5" t="b">
        <v>1</v>
      </c>
      <c r="CG12" s="5" t="b">
        <v>1</v>
      </c>
      <c r="CH12" s="5" t="b">
        <v>1</v>
      </c>
      <c r="CI12" s="5" t="b">
        <v>1</v>
      </c>
      <c r="CJ12" s="5" t="b">
        <v>0</v>
      </c>
      <c r="CK12" s="5" t="b">
        <v>1</v>
      </c>
      <c r="CL12" s="5" t="b">
        <v>1</v>
      </c>
      <c r="CM12" s="5" t="b">
        <v>1</v>
      </c>
      <c r="CN12" s="5" t="b">
        <v>0</v>
      </c>
      <c r="CO12" s="5" t="b">
        <v>0</v>
      </c>
      <c r="CP12" s="5" t="b">
        <v>0</v>
      </c>
      <c r="CQ12" s="5" t="b">
        <v>0</v>
      </c>
      <c r="CR12" s="5" t="b">
        <v>0</v>
      </c>
      <c r="CS12" s="5" t="b">
        <v>0</v>
      </c>
      <c r="CT12" s="5" t="b">
        <v>1</v>
      </c>
      <c r="CU12" s="5" t="b">
        <v>1</v>
      </c>
      <c r="CV12" s="5" t="b">
        <v>1</v>
      </c>
      <c r="CW12" s="5" t="b">
        <v>1</v>
      </c>
      <c r="CX12" s="5" t="b">
        <v>1</v>
      </c>
      <c r="CY12" s="5" t="b">
        <v>1</v>
      </c>
      <c r="CZ12" s="5" t="b">
        <v>1</v>
      </c>
      <c r="DA12" s="5" t="b">
        <v>1</v>
      </c>
      <c r="DB12" s="5" t="b">
        <v>1</v>
      </c>
      <c r="DC12" s="5" t="b">
        <v>1</v>
      </c>
      <c r="DD12" s="5" t="b">
        <v>1</v>
      </c>
      <c r="DE12" s="5" t="b">
        <v>1</v>
      </c>
      <c r="DF12" s="5" t="b">
        <v>1</v>
      </c>
      <c r="DG12" s="5" t="b">
        <v>1</v>
      </c>
      <c r="DH12" s="5" t="b">
        <v>1</v>
      </c>
      <c r="DI12" s="5" t="b">
        <v>1</v>
      </c>
      <c r="DJ12" s="5" t="b">
        <v>1</v>
      </c>
      <c r="DK12" s="5" t="b">
        <v>1</v>
      </c>
      <c r="DL12" s="5" t="b">
        <v>1</v>
      </c>
      <c r="DM12" s="5" t="b">
        <v>1</v>
      </c>
    </row>
    <row r="13" spans="1:117" s="5" customFormat="1">
      <c r="A13" s="5">
        <v>3</v>
      </c>
      <c r="B13" s="4" t="b" cm="1">
        <f t="array" ref="B13">IF(AND(C3:DM3=TRUE), TRUE, FALSE)</f>
        <v>0</v>
      </c>
      <c r="C13" s="5" t="b" cm="1">
        <f t="array" ref="C13:DM13">'Pull Db Dbeaver '!A3:DK3='Pull Data File'!A3:DK3</f>
        <v>1</v>
      </c>
      <c r="D13" s="5" t="b">
        <v>1</v>
      </c>
      <c r="E13" s="5" t="b">
        <v>1</v>
      </c>
      <c r="F13" s="5" t="b">
        <v>1</v>
      </c>
      <c r="G13" s="5" t="b">
        <v>1</v>
      </c>
      <c r="H13" s="5" t="b">
        <v>1</v>
      </c>
      <c r="I13" s="5" t="b">
        <v>1</v>
      </c>
      <c r="J13" s="5" t="b">
        <v>1</v>
      </c>
      <c r="K13" s="5" t="b">
        <v>1</v>
      </c>
      <c r="L13" s="5" t="b">
        <v>1</v>
      </c>
      <c r="M13" s="5" t="b">
        <v>1</v>
      </c>
      <c r="N13" s="5" t="b">
        <v>1</v>
      </c>
      <c r="O13" s="5" t="b">
        <v>1</v>
      </c>
      <c r="P13" s="5" t="b">
        <v>1</v>
      </c>
      <c r="Q13" s="5" t="b">
        <v>1</v>
      </c>
      <c r="R13" s="5" t="b">
        <v>1</v>
      </c>
      <c r="S13" s="5" t="b">
        <v>1</v>
      </c>
      <c r="T13" s="5" t="b">
        <v>1</v>
      </c>
      <c r="U13" s="5" t="b">
        <v>1</v>
      </c>
      <c r="V13" s="5" t="b">
        <v>1</v>
      </c>
      <c r="W13" s="5" t="b">
        <v>1</v>
      </c>
      <c r="X13" s="5" t="b">
        <v>1</v>
      </c>
      <c r="Y13" s="5" t="b">
        <v>1</v>
      </c>
      <c r="Z13" s="5" t="b">
        <v>1</v>
      </c>
      <c r="AA13" s="5" t="b">
        <v>1</v>
      </c>
      <c r="AB13" s="5" t="b">
        <v>1</v>
      </c>
      <c r="AC13" s="5" t="b">
        <v>0</v>
      </c>
      <c r="AD13" s="5" t="b">
        <v>0</v>
      </c>
      <c r="AE13" s="5" t="b">
        <v>0</v>
      </c>
      <c r="AF13" s="5" t="b">
        <v>1</v>
      </c>
      <c r="AG13" s="5" t="b">
        <v>1</v>
      </c>
      <c r="AH13" s="5" t="b">
        <v>1</v>
      </c>
      <c r="AI13" s="5" t="b">
        <v>1</v>
      </c>
      <c r="AJ13" s="5" t="b">
        <v>1</v>
      </c>
      <c r="AK13" s="5" t="b">
        <v>1</v>
      </c>
      <c r="AL13" s="5" t="b">
        <v>1</v>
      </c>
      <c r="AM13" s="5" t="b">
        <v>1</v>
      </c>
      <c r="AN13" s="5" t="b">
        <v>1</v>
      </c>
      <c r="AO13" s="5" t="b">
        <v>1</v>
      </c>
      <c r="AP13" s="5" t="b">
        <v>1</v>
      </c>
      <c r="AQ13" s="5" t="b">
        <v>1</v>
      </c>
      <c r="AR13" s="5" t="b">
        <v>1</v>
      </c>
      <c r="AS13" s="5" t="b">
        <v>1</v>
      </c>
      <c r="AT13" s="5" t="b">
        <v>1</v>
      </c>
      <c r="AU13" s="5" t="b">
        <v>1</v>
      </c>
      <c r="AV13" s="5" t="b">
        <v>1</v>
      </c>
      <c r="AW13" s="5" t="b">
        <v>1</v>
      </c>
      <c r="AX13" s="5" t="b">
        <v>1</v>
      </c>
      <c r="AY13" s="5" t="b">
        <v>1</v>
      </c>
      <c r="AZ13" s="5" t="b">
        <v>1</v>
      </c>
      <c r="BA13" s="5" t="b">
        <v>1</v>
      </c>
      <c r="BB13" s="5" t="b">
        <v>1</v>
      </c>
      <c r="BC13" s="5" t="b">
        <v>1</v>
      </c>
      <c r="BD13" s="5" t="b">
        <v>1</v>
      </c>
      <c r="BE13" s="5" t="b">
        <v>1</v>
      </c>
      <c r="BF13" s="5" t="b">
        <v>1</v>
      </c>
      <c r="BG13" s="5" t="b">
        <v>1</v>
      </c>
      <c r="BH13" s="5" t="b">
        <v>1</v>
      </c>
      <c r="BI13" s="5" t="b">
        <v>1</v>
      </c>
      <c r="BJ13" s="5" t="b">
        <v>1</v>
      </c>
      <c r="BK13" s="5" t="b">
        <v>1</v>
      </c>
      <c r="BL13" s="5" t="b">
        <v>1</v>
      </c>
      <c r="BM13" s="5" t="b">
        <v>1</v>
      </c>
      <c r="BN13" s="5" t="b">
        <v>1</v>
      </c>
      <c r="BO13" s="5" t="b">
        <v>1</v>
      </c>
      <c r="BP13" s="5" t="b">
        <v>1</v>
      </c>
      <c r="BQ13" s="5" t="b">
        <v>1</v>
      </c>
      <c r="BR13" s="5" t="b">
        <v>1</v>
      </c>
      <c r="BS13" s="5" t="b">
        <v>1</v>
      </c>
      <c r="BT13" s="5" t="b">
        <v>1</v>
      </c>
      <c r="BU13" s="5" t="b">
        <v>1</v>
      </c>
      <c r="BV13" s="5" t="b">
        <v>1</v>
      </c>
      <c r="BW13" s="5" t="b">
        <v>1</v>
      </c>
      <c r="BX13" s="5" t="b">
        <v>1</v>
      </c>
      <c r="BY13" s="5" t="b">
        <v>1</v>
      </c>
      <c r="BZ13" s="5" t="b">
        <v>1</v>
      </c>
      <c r="CA13" s="5" t="b">
        <v>1</v>
      </c>
      <c r="CB13" s="5" t="b">
        <v>1</v>
      </c>
      <c r="CC13" s="5" t="b">
        <v>1</v>
      </c>
      <c r="CD13" s="5" t="b">
        <v>1</v>
      </c>
      <c r="CE13" s="5" t="b">
        <v>1</v>
      </c>
      <c r="CF13" s="5" t="b">
        <v>1</v>
      </c>
      <c r="CG13" s="5" t="b">
        <v>1</v>
      </c>
      <c r="CH13" s="5" t="b">
        <v>1</v>
      </c>
      <c r="CI13" s="5" t="b">
        <v>1</v>
      </c>
      <c r="CJ13" s="5" t="b">
        <v>0</v>
      </c>
      <c r="CK13" s="5" t="b">
        <v>1</v>
      </c>
      <c r="CL13" s="5" t="b">
        <v>1</v>
      </c>
      <c r="CM13" s="5" t="b">
        <v>1</v>
      </c>
      <c r="CN13" s="5" t="b">
        <v>0</v>
      </c>
      <c r="CO13" s="5" t="b">
        <v>0</v>
      </c>
      <c r="CP13" s="5" t="b">
        <v>0</v>
      </c>
      <c r="CQ13" s="5" t="b">
        <v>0</v>
      </c>
      <c r="CR13" s="5" t="b">
        <v>0</v>
      </c>
      <c r="CS13" s="5" t="b">
        <v>0</v>
      </c>
      <c r="CT13" s="5" t="b">
        <v>1</v>
      </c>
      <c r="CU13" s="5" t="b">
        <v>1</v>
      </c>
      <c r="CV13" s="5" t="b">
        <v>1</v>
      </c>
      <c r="CW13" s="5" t="b">
        <v>1</v>
      </c>
      <c r="CX13" s="5" t="b">
        <v>1</v>
      </c>
      <c r="CY13" s="5" t="b">
        <v>1</v>
      </c>
      <c r="CZ13" s="5" t="b">
        <v>1</v>
      </c>
      <c r="DA13" s="5" t="b">
        <v>1</v>
      </c>
      <c r="DB13" s="5" t="b">
        <v>1</v>
      </c>
      <c r="DC13" s="5" t="b">
        <v>1</v>
      </c>
      <c r="DD13" s="5" t="b">
        <v>1</v>
      </c>
      <c r="DE13" s="5" t="b">
        <v>1</v>
      </c>
      <c r="DF13" s="5" t="b">
        <v>1</v>
      </c>
      <c r="DG13" s="5" t="b">
        <v>1</v>
      </c>
      <c r="DH13" s="5" t="b">
        <v>1</v>
      </c>
      <c r="DI13" s="5" t="b">
        <v>1</v>
      </c>
      <c r="DJ13" s="5" t="b">
        <v>1</v>
      </c>
      <c r="DK13" s="5" t="b">
        <v>1</v>
      </c>
      <c r="DL13" s="5" t="b">
        <v>1</v>
      </c>
      <c r="DM13" s="5" t="b">
        <v>1</v>
      </c>
    </row>
    <row r="14" spans="1:117" s="5" customFormat="1">
      <c r="A14" s="5">
        <v>4</v>
      </c>
      <c r="B14" s="4" t="b" cm="1">
        <f t="array" ref="B14">IF(AND(C4:DM4=TRUE), TRUE, FALSE)</f>
        <v>0</v>
      </c>
      <c r="C14" s="5" t="b" cm="1">
        <f t="array" ref="C14:DM14">'Pull Db Dbeaver '!A4:DK4='Pull Data File'!A4:DK4</f>
        <v>1</v>
      </c>
      <c r="D14" s="5" t="b">
        <v>1</v>
      </c>
      <c r="E14" s="5" t="b">
        <v>1</v>
      </c>
      <c r="F14" s="5" t="b">
        <v>1</v>
      </c>
      <c r="G14" s="5" t="b">
        <v>1</v>
      </c>
      <c r="H14" s="5" t="b">
        <v>1</v>
      </c>
      <c r="I14" s="5" t="b">
        <v>1</v>
      </c>
      <c r="J14" s="5" t="b">
        <v>1</v>
      </c>
      <c r="K14" s="5" t="b">
        <v>1</v>
      </c>
      <c r="L14" s="5" t="b">
        <v>1</v>
      </c>
      <c r="M14" s="5" t="b">
        <v>1</v>
      </c>
      <c r="N14" s="5" t="b">
        <v>1</v>
      </c>
      <c r="O14" s="5" t="b">
        <v>1</v>
      </c>
      <c r="P14" s="5" t="b">
        <v>1</v>
      </c>
      <c r="Q14" s="5" t="b">
        <v>1</v>
      </c>
      <c r="R14" s="5" t="b">
        <v>1</v>
      </c>
      <c r="S14" s="5" t="b">
        <v>1</v>
      </c>
      <c r="T14" s="5" t="b">
        <v>1</v>
      </c>
      <c r="U14" s="5" t="b">
        <v>1</v>
      </c>
      <c r="V14" s="5" t="b">
        <v>1</v>
      </c>
      <c r="W14" s="5" t="b">
        <v>1</v>
      </c>
      <c r="X14" s="5" t="b">
        <v>1</v>
      </c>
      <c r="Y14" s="5" t="b">
        <v>1</v>
      </c>
      <c r="Z14" s="5" t="b">
        <v>1</v>
      </c>
      <c r="AA14" s="5" t="b">
        <v>1</v>
      </c>
      <c r="AB14" s="5" t="b">
        <v>1</v>
      </c>
      <c r="AC14" s="5" t="b">
        <v>0</v>
      </c>
      <c r="AD14" s="5" t="b">
        <v>0</v>
      </c>
      <c r="AE14" s="5" t="b">
        <v>0</v>
      </c>
      <c r="AF14" s="5" t="b">
        <v>1</v>
      </c>
      <c r="AG14" s="5" t="b">
        <v>1</v>
      </c>
      <c r="AH14" s="5" t="b">
        <v>1</v>
      </c>
      <c r="AI14" s="5" t="b">
        <v>1</v>
      </c>
      <c r="AJ14" s="5" t="b">
        <v>1</v>
      </c>
      <c r="AK14" s="5" t="b">
        <v>1</v>
      </c>
      <c r="AL14" s="5" t="b">
        <v>1</v>
      </c>
      <c r="AM14" s="5" t="b">
        <v>1</v>
      </c>
      <c r="AN14" s="5" t="b">
        <v>1</v>
      </c>
      <c r="AO14" s="5" t="b">
        <v>1</v>
      </c>
      <c r="AP14" s="5" t="b">
        <v>1</v>
      </c>
      <c r="AQ14" s="5" t="b">
        <v>1</v>
      </c>
      <c r="AR14" s="5" t="b">
        <v>1</v>
      </c>
      <c r="AS14" s="5" t="b">
        <v>1</v>
      </c>
      <c r="AT14" s="5" t="b">
        <v>1</v>
      </c>
      <c r="AU14" s="5" t="b">
        <v>1</v>
      </c>
      <c r="AV14" s="5" t="b">
        <v>1</v>
      </c>
      <c r="AW14" s="5" t="b">
        <v>1</v>
      </c>
      <c r="AX14" s="5" t="b">
        <v>1</v>
      </c>
      <c r="AY14" s="5" t="b">
        <v>1</v>
      </c>
      <c r="AZ14" s="5" t="b">
        <v>1</v>
      </c>
      <c r="BA14" s="5" t="b">
        <v>1</v>
      </c>
      <c r="BB14" s="5" t="b">
        <v>1</v>
      </c>
      <c r="BC14" s="5" t="b">
        <v>1</v>
      </c>
      <c r="BD14" s="5" t="b">
        <v>1</v>
      </c>
      <c r="BE14" s="5" t="b">
        <v>1</v>
      </c>
      <c r="BF14" s="5" t="b">
        <v>1</v>
      </c>
      <c r="BG14" s="5" t="b">
        <v>1</v>
      </c>
      <c r="BH14" s="5" t="b">
        <v>1</v>
      </c>
      <c r="BI14" s="5" t="b">
        <v>1</v>
      </c>
      <c r="BJ14" s="5" t="b">
        <v>1</v>
      </c>
      <c r="BK14" s="5" t="b">
        <v>1</v>
      </c>
      <c r="BL14" s="5" t="b">
        <v>1</v>
      </c>
      <c r="BM14" s="5" t="b">
        <v>1</v>
      </c>
      <c r="BN14" s="5" t="b">
        <v>1</v>
      </c>
      <c r="BO14" s="5" t="b">
        <v>1</v>
      </c>
      <c r="BP14" s="5" t="b">
        <v>1</v>
      </c>
      <c r="BQ14" s="5" t="b">
        <v>1</v>
      </c>
      <c r="BR14" s="5" t="b">
        <v>1</v>
      </c>
      <c r="BS14" s="5" t="b">
        <v>1</v>
      </c>
      <c r="BT14" s="5" t="b">
        <v>1</v>
      </c>
      <c r="BU14" s="5" t="b">
        <v>1</v>
      </c>
      <c r="BV14" s="5" t="b">
        <v>1</v>
      </c>
      <c r="BW14" s="5" t="b">
        <v>1</v>
      </c>
      <c r="BX14" s="5" t="b">
        <v>1</v>
      </c>
      <c r="BY14" s="5" t="b">
        <v>1</v>
      </c>
      <c r="BZ14" s="5" t="b">
        <v>1</v>
      </c>
      <c r="CA14" s="5" t="b">
        <v>1</v>
      </c>
      <c r="CB14" s="5" t="b">
        <v>1</v>
      </c>
      <c r="CC14" s="5" t="b">
        <v>1</v>
      </c>
      <c r="CD14" s="5" t="b">
        <v>1</v>
      </c>
      <c r="CE14" s="5" t="b">
        <v>1</v>
      </c>
      <c r="CF14" s="5" t="b">
        <v>1</v>
      </c>
      <c r="CG14" s="5" t="b">
        <v>1</v>
      </c>
      <c r="CH14" s="5" t="b">
        <v>1</v>
      </c>
      <c r="CI14" s="5" t="b">
        <v>1</v>
      </c>
      <c r="CJ14" s="5" t="b">
        <v>0</v>
      </c>
      <c r="CK14" s="5" t="b">
        <v>1</v>
      </c>
      <c r="CL14" s="5" t="b">
        <v>1</v>
      </c>
      <c r="CM14" s="5" t="b">
        <v>1</v>
      </c>
      <c r="CN14" s="5" t="b">
        <v>0</v>
      </c>
      <c r="CO14" s="5" t="b">
        <v>0</v>
      </c>
      <c r="CP14" s="5" t="b">
        <v>0</v>
      </c>
      <c r="CQ14" s="5" t="b">
        <v>0</v>
      </c>
      <c r="CR14" s="5" t="b">
        <v>0</v>
      </c>
      <c r="CS14" s="5" t="b">
        <v>0</v>
      </c>
      <c r="CT14" s="5" t="b">
        <v>1</v>
      </c>
      <c r="CU14" s="5" t="b">
        <v>1</v>
      </c>
      <c r="CV14" s="5" t="b">
        <v>1</v>
      </c>
      <c r="CW14" s="5" t="b">
        <v>1</v>
      </c>
      <c r="CX14" s="5" t="b">
        <v>1</v>
      </c>
      <c r="CY14" s="5" t="b">
        <v>1</v>
      </c>
      <c r="CZ14" s="5" t="b">
        <v>1</v>
      </c>
      <c r="DA14" s="5" t="b">
        <v>1</v>
      </c>
      <c r="DB14" s="5" t="b">
        <v>1</v>
      </c>
      <c r="DC14" s="5" t="b">
        <v>1</v>
      </c>
      <c r="DD14" s="5" t="b">
        <v>1</v>
      </c>
      <c r="DE14" s="5" t="b">
        <v>1</v>
      </c>
      <c r="DF14" s="5" t="b">
        <v>1</v>
      </c>
      <c r="DG14" s="5" t="b">
        <v>1</v>
      </c>
      <c r="DH14" s="5" t="b">
        <v>1</v>
      </c>
      <c r="DI14" s="5" t="b">
        <v>1</v>
      </c>
      <c r="DJ14" s="5" t="b">
        <v>1</v>
      </c>
      <c r="DK14" s="5" t="b">
        <v>1</v>
      </c>
      <c r="DL14" s="5" t="b">
        <v>1</v>
      </c>
      <c r="DM14" s="5" t="b">
        <v>1</v>
      </c>
    </row>
    <row r="15" spans="1:117" s="5" customFormat="1">
      <c r="A15" s="5">
        <v>5</v>
      </c>
      <c r="B15" s="4" t="b" cm="1">
        <f t="array" ref="B15">IF(AND(C5:DM5=TRUE), TRUE, FALSE)</f>
        <v>0</v>
      </c>
      <c r="C15" s="5" t="b" cm="1">
        <f t="array" ref="C15:DM15">'Pull Db Dbeaver '!A5:DK5='Pull Data File'!A5:DK5</f>
        <v>1</v>
      </c>
      <c r="D15" s="5" t="b">
        <v>1</v>
      </c>
      <c r="E15" s="5" t="b">
        <v>1</v>
      </c>
      <c r="F15" s="5" t="b">
        <v>1</v>
      </c>
      <c r="G15" s="5" t="b">
        <v>1</v>
      </c>
      <c r="H15" s="5" t="b">
        <v>1</v>
      </c>
      <c r="I15" s="5" t="b">
        <v>1</v>
      </c>
      <c r="J15" s="5" t="b">
        <v>1</v>
      </c>
      <c r="K15" s="5" t="b">
        <v>1</v>
      </c>
      <c r="L15" s="5" t="b">
        <v>1</v>
      </c>
      <c r="M15" s="5" t="b">
        <v>1</v>
      </c>
      <c r="N15" s="5" t="b">
        <v>1</v>
      </c>
      <c r="O15" s="5" t="b">
        <v>1</v>
      </c>
      <c r="P15" s="5" t="b">
        <v>1</v>
      </c>
      <c r="Q15" s="5" t="b">
        <v>1</v>
      </c>
      <c r="R15" s="5" t="b">
        <v>1</v>
      </c>
      <c r="S15" s="5" t="b">
        <v>1</v>
      </c>
      <c r="T15" s="5" t="b">
        <v>1</v>
      </c>
      <c r="U15" s="5" t="b">
        <v>1</v>
      </c>
      <c r="V15" s="5" t="b">
        <v>1</v>
      </c>
      <c r="W15" s="5" t="b">
        <v>1</v>
      </c>
      <c r="X15" s="5" t="b">
        <v>1</v>
      </c>
      <c r="Y15" s="5" t="b">
        <v>1</v>
      </c>
      <c r="Z15" s="5" t="b">
        <v>1</v>
      </c>
      <c r="AA15" s="5" t="b">
        <v>1</v>
      </c>
      <c r="AB15" s="5" t="b">
        <v>1</v>
      </c>
      <c r="AC15" s="5" t="b">
        <v>0</v>
      </c>
      <c r="AD15" s="5" t="b">
        <v>0</v>
      </c>
      <c r="AE15" s="5" t="b">
        <v>0</v>
      </c>
      <c r="AF15" s="5" t="b">
        <v>1</v>
      </c>
      <c r="AG15" s="5" t="b">
        <v>1</v>
      </c>
      <c r="AH15" s="5" t="b">
        <v>1</v>
      </c>
      <c r="AI15" s="5" t="b">
        <v>1</v>
      </c>
      <c r="AJ15" s="5" t="b">
        <v>1</v>
      </c>
      <c r="AK15" s="5" t="b">
        <v>1</v>
      </c>
      <c r="AL15" s="5" t="b">
        <v>1</v>
      </c>
      <c r="AM15" s="5" t="b">
        <v>1</v>
      </c>
      <c r="AN15" s="5" t="b">
        <v>1</v>
      </c>
      <c r="AO15" s="5" t="b">
        <v>1</v>
      </c>
      <c r="AP15" s="5" t="b">
        <v>1</v>
      </c>
      <c r="AQ15" s="5" t="b">
        <v>1</v>
      </c>
      <c r="AR15" s="5" t="b">
        <v>1</v>
      </c>
      <c r="AS15" s="5" t="b">
        <v>1</v>
      </c>
      <c r="AT15" s="5" t="b">
        <v>1</v>
      </c>
      <c r="AU15" s="5" t="b">
        <v>1</v>
      </c>
      <c r="AV15" s="5" t="b">
        <v>1</v>
      </c>
      <c r="AW15" s="5" t="b">
        <v>1</v>
      </c>
      <c r="AX15" s="5" t="b">
        <v>1</v>
      </c>
      <c r="AY15" s="5" t="b">
        <v>1</v>
      </c>
      <c r="AZ15" s="5" t="b">
        <v>1</v>
      </c>
      <c r="BA15" s="5" t="b">
        <v>1</v>
      </c>
      <c r="BB15" s="5" t="b">
        <v>1</v>
      </c>
      <c r="BC15" s="5" t="b">
        <v>1</v>
      </c>
      <c r="BD15" s="5" t="b">
        <v>1</v>
      </c>
      <c r="BE15" s="5" t="b">
        <v>1</v>
      </c>
      <c r="BF15" s="5" t="b">
        <v>1</v>
      </c>
      <c r="BG15" s="5" t="b">
        <v>1</v>
      </c>
      <c r="BH15" s="5" t="b">
        <v>1</v>
      </c>
      <c r="BI15" s="5" t="b">
        <v>1</v>
      </c>
      <c r="BJ15" s="5" t="b">
        <v>1</v>
      </c>
      <c r="BK15" s="5" t="b">
        <v>1</v>
      </c>
      <c r="BL15" s="5" t="b">
        <v>1</v>
      </c>
      <c r="BM15" s="5" t="b">
        <v>1</v>
      </c>
      <c r="BN15" s="5" t="b">
        <v>1</v>
      </c>
      <c r="BO15" s="5" t="b">
        <v>1</v>
      </c>
      <c r="BP15" s="5" t="b">
        <v>1</v>
      </c>
      <c r="BQ15" s="5" t="b">
        <v>1</v>
      </c>
      <c r="BR15" s="5" t="b">
        <v>1</v>
      </c>
      <c r="BS15" s="5" t="b">
        <v>1</v>
      </c>
      <c r="BT15" s="5" t="b">
        <v>1</v>
      </c>
      <c r="BU15" s="5" t="b">
        <v>1</v>
      </c>
      <c r="BV15" s="5" t="b">
        <v>1</v>
      </c>
      <c r="BW15" s="5" t="b">
        <v>1</v>
      </c>
      <c r="BX15" s="5" t="b">
        <v>1</v>
      </c>
      <c r="BY15" s="5" t="b">
        <v>1</v>
      </c>
      <c r="BZ15" s="5" t="b">
        <v>1</v>
      </c>
      <c r="CA15" s="5" t="b">
        <v>1</v>
      </c>
      <c r="CB15" s="5" t="b">
        <v>1</v>
      </c>
      <c r="CC15" s="5" t="b">
        <v>1</v>
      </c>
      <c r="CD15" s="5" t="b">
        <v>1</v>
      </c>
      <c r="CE15" s="5" t="b">
        <v>1</v>
      </c>
      <c r="CF15" s="5" t="b">
        <v>1</v>
      </c>
      <c r="CG15" s="5" t="b">
        <v>1</v>
      </c>
      <c r="CH15" s="5" t="b">
        <v>1</v>
      </c>
      <c r="CI15" s="5" t="b">
        <v>1</v>
      </c>
      <c r="CJ15" s="5" t="b">
        <v>0</v>
      </c>
      <c r="CK15" s="5" t="b">
        <v>1</v>
      </c>
      <c r="CL15" s="5" t="b">
        <v>1</v>
      </c>
      <c r="CM15" s="5" t="b">
        <v>1</v>
      </c>
      <c r="CN15" s="5" t="b">
        <v>0</v>
      </c>
      <c r="CO15" s="5" t="b">
        <v>0</v>
      </c>
      <c r="CP15" s="5" t="b">
        <v>0</v>
      </c>
      <c r="CQ15" s="5" t="b">
        <v>0</v>
      </c>
      <c r="CR15" s="5" t="b">
        <v>0</v>
      </c>
      <c r="CS15" s="5" t="b">
        <v>0</v>
      </c>
      <c r="CT15" s="5" t="b">
        <v>1</v>
      </c>
      <c r="CU15" s="5" t="b">
        <v>1</v>
      </c>
      <c r="CV15" s="5" t="b">
        <v>1</v>
      </c>
      <c r="CW15" s="5" t="b">
        <v>1</v>
      </c>
      <c r="CX15" s="5" t="b">
        <v>1</v>
      </c>
      <c r="CY15" s="5" t="b">
        <v>1</v>
      </c>
      <c r="CZ15" s="5" t="b">
        <v>1</v>
      </c>
      <c r="DA15" s="5" t="b">
        <v>1</v>
      </c>
      <c r="DB15" s="5" t="b">
        <v>1</v>
      </c>
      <c r="DC15" s="5" t="b">
        <v>1</v>
      </c>
      <c r="DD15" s="5" t="b">
        <v>1</v>
      </c>
      <c r="DE15" s="5" t="b">
        <v>1</v>
      </c>
      <c r="DF15" s="5" t="b">
        <v>1</v>
      </c>
      <c r="DG15" s="5" t="b">
        <v>1</v>
      </c>
      <c r="DH15" s="5" t="b">
        <v>1</v>
      </c>
      <c r="DI15" s="5" t="b">
        <v>1</v>
      </c>
      <c r="DJ15" s="5" t="b">
        <v>1</v>
      </c>
      <c r="DK15" s="5" t="b">
        <v>1</v>
      </c>
      <c r="DL15" s="5" t="b">
        <v>1</v>
      </c>
      <c r="DM15" s="5" t="b">
        <v>1</v>
      </c>
    </row>
    <row r="16" spans="1:117" s="5" customFormat="1">
      <c r="A16" s="5">
        <v>6</v>
      </c>
      <c r="B16" s="4" t="b" cm="1">
        <f t="array" ref="B16">IF(AND(C6:DM6=TRUE), TRUE, FALSE)</f>
        <v>0</v>
      </c>
      <c r="C16" s="5" t="b" cm="1">
        <f t="array" ref="C16:DM16">'Pull Db Dbeaver '!A6:DK6='Pull Data File'!A6:DK6</f>
        <v>1</v>
      </c>
      <c r="D16" s="5" t="b">
        <v>1</v>
      </c>
      <c r="E16" s="5" t="b">
        <v>1</v>
      </c>
      <c r="F16" s="5" t="b">
        <v>1</v>
      </c>
      <c r="G16" s="5" t="b">
        <v>1</v>
      </c>
      <c r="H16" s="5" t="b">
        <v>1</v>
      </c>
      <c r="I16" s="5" t="b">
        <v>1</v>
      </c>
      <c r="J16" s="5" t="b">
        <v>1</v>
      </c>
      <c r="K16" s="5" t="b">
        <v>1</v>
      </c>
      <c r="L16" s="5" t="b">
        <v>1</v>
      </c>
      <c r="M16" s="5" t="b">
        <v>1</v>
      </c>
      <c r="N16" s="5" t="b">
        <v>1</v>
      </c>
      <c r="O16" s="5" t="b">
        <v>1</v>
      </c>
      <c r="P16" s="5" t="b">
        <v>1</v>
      </c>
      <c r="Q16" s="5" t="b">
        <v>1</v>
      </c>
      <c r="R16" s="5" t="b">
        <v>1</v>
      </c>
      <c r="S16" s="5" t="b">
        <v>1</v>
      </c>
      <c r="T16" s="5" t="b">
        <v>1</v>
      </c>
      <c r="U16" s="5" t="b">
        <v>1</v>
      </c>
      <c r="V16" s="5" t="b">
        <v>1</v>
      </c>
      <c r="W16" s="5" t="b">
        <v>1</v>
      </c>
      <c r="X16" s="5" t="b">
        <v>1</v>
      </c>
      <c r="Y16" s="5" t="b">
        <v>1</v>
      </c>
      <c r="Z16" s="5" t="b">
        <v>1</v>
      </c>
      <c r="AA16" s="5" t="b">
        <v>1</v>
      </c>
      <c r="AB16" s="5" t="b">
        <v>1</v>
      </c>
      <c r="AC16" s="5" t="b">
        <v>0</v>
      </c>
      <c r="AD16" s="5" t="b">
        <v>0</v>
      </c>
      <c r="AE16" s="5" t="b">
        <v>0</v>
      </c>
      <c r="AF16" s="5" t="b">
        <v>1</v>
      </c>
      <c r="AG16" s="5" t="b">
        <v>1</v>
      </c>
      <c r="AH16" s="5" t="b">
        <v>1</v>
      </c>
      <c r="AI16" s="5" t="b">
        <v>1</v>
      </c>
      <c r="AJ16" s="5" t="b">
        <v>1</v>
      </c>
      <c r="AK16" s="5" t="b">
        <v>1</v>
      </c>
      <c r="AL16" s="5" t="b">
        <v>1</v>
      </c>
      <c r="AM16" s="5" t="b">
        <v>1</v>
      </c>
      <c r="AN16" s="5" t="b">
        <v>1</v>
      </c>
      <c r="AO16" s="5" t="b">
        <v>1</v>
      </c>
      <c r="AP16" s="5" t="b">
        <v>1</v>
      </c>
      <c r="AQ16" s="5" t="b">
        <v>1</v>
      </c>
      <c r="AR16" s="5" t="b">
        <v>1</v>
      </c>
      <c r="AS16" s="5" t="b">
        <v>1</v>
      </c>
      <c r="AT16" s="5" t="b">
        <v>1</v>
      </c>
      <c r="AU16" s="5" t="b">
        <v>1</v>
      </c>
      <c r="AV16" s="5" t="b">
        <v>1</v>
      </c>
      <c r="AW16" s="5" t="b">
        <v>1</v>
      </c>
      <c r="AX16" s="5" t="b">
        <v>1</v>
      </c>
      <c r="AY16" s="5" t="b">
        <v>1</v>
      </c>
      <c r="AZ16" s="5" t="b">
        <v>1</v>
      </c>
      <c r="BA16" s="5" t="b">
        <v>1</v>
      </c>
      <c r="BB16" s="5" t="b">
        <v>1</v>
      </c>
      <c r="BC16" s="5" t="b">
        <v>1</v>
      </c>
      <c r="BD16" s="5" t="b">
        <v>1</v>
      </c>
      <c r="BE16" s="5" t="b">
        <v>1</v>
      </c>
      <c r="BF16" s="5" t="b">
        <v>1</v>
      </c>
      <c r="BG16" s="5" t="b">
        <v>1</v>
      </c>
      <c r="BH16" s="5" t="b">
        <v>1</v>
      </c>
      <c r="BI16" s="5" t="b">
        <v>1</v>
      </c>
      <c r="BJ16" s="5" t="b">
        <v>1</v>
      </c>
      <c r="BK16" s="5" t="b">
        <v>1</v>
      </c>
      <c r="BL16" s="5" t="b">
        <v>1</v>
      </c>
      <c r="BM16" s="5" t="b">
        <v>1</v>
      </c>
      <c r="BN16" s="5" t="b">
        <v>1</v>
      </c>
      <c r="BO16" s="5" t="b">
        <v>1</v>
      </c>
      <c r="BP16" s="5" t="b">
        <v>1</v>
      </c>
      <c r="BQ16" s="5" t="b">
        <v>1</v>
      </c>
      <c r="BR16" s="5" t="b">
        <v>1</v>
      </c>
      <c r="BS16" s="5" t="b">
        <v>1</v>
      </c>
      <c r="BT16" s="5" t="b">
        <v>1</v>
      </c>
      <c r="BU16" s="5" t="b">
        <v>1</v>
      </c>
      <c r="BV16" s="5" t="b">
        <v>1</v>
      </c>
      <c r="BW16" s="5" t="b">
        <v>1</v>
      </c>
      <c r="BX16" s="5" t="b">
        <v>1</v>
      </c>
      <c r="BY16" s="5" t="b">
        <v>1</v>
      </c>
      <c r="BZ16" s="5" t="b">
        <v>1</v>
      </c>
      <c r="CA16" s="5" t="b">
        <v>1</v>
      </c>
      <c r="CB16" s="5" t="b">
        <v>1</v>
      </c>
      <c r="CC16" s="5" t="b">
        <v>1</v>
      </c>
      <c r="CD16" s="5" t="b">
        <v>1</v>
      </c>
      <c r="CE16" s="5" t="b">
        <v>1</v>
      </c>
      <c r="CF16" s="5" t="b">
        <v>1</v>
      </c>
      <c r="CG16" s="5" t="b">
        <v>1</v>
      </c>
      <c r="CH16" s="5" t="b">
        <v>1</v>
      </c>
      <c r="CI16" s="5" t="b">
        <v>1</v>
      </c>
      <c r="CJ16" s="5" t="b">
        <v>0</v>
      </c>
      <c r="CK16" s="5" t="b">
        <v>1</v>
      </c>
      <c r="CL16" s="5" t="b">
        <v>1</v>
      </c>
      <c r="CM16" s="5" t="b">
        <v>1</v>
      </c>
      <c r="CN16" s="5" t="b">
        <v>0</v>
      </c>
      <c r="CO16" s="5" t="b">
        <v>0</v>
      </c>
      <c r="CP16" s="5" t="b">
        <v>0</v>
      </c>
      <c r="CQ16" s="5" t="b">
        <v>0</v>
      </c>
      <c r="CR16" s="5" t="b">
        <v>0</v>
      </c>
      <c r="CS16" s="5" t="b">
        <v>0</v>
      </c>
      <c r="CT16" s="5" t="b">
        <v>1</v>
      </c>
      <c r="CU16" s="5" t="b">
        <v>1</v>
      </c>
      <c r="CV16" s="5" t="b">
        <v>1</v>
      </c>
      <c r="CW16" s="5" t="b">
        <v>1</v>
      </c>
      <c r="CX16" s="5" t="b">
        <v>1</v>
      </c>
      <c r="CY16" s="5" t="b">
        <v>1</v>
      </c>
      <c r="CZ16" s="5" t="b">
        <v>1</v>
      </c>
      <c r="DA16" s="5" t="b">
        <v>1</v>
      </c>
      <c r="DB16" s="5" t="b">
        <v>1</v>
      </c>
      <c r="DC16" s="5" t="b">
        <v>1</v>
      </c>
      <c r="DD16" s="5" t="b">
        <v>1</v>
      </c>
      <c r="DE16" s="5" t="b">
        <v>1</v>
      </c>
      <c r="DF16" s="5" t="b">
        <v>1</v>
      </c>
      <c r="DG16" s="5" t="b">
        <v>1</v>
      </c>
      <c r="DH16" s="5" t="b">
        <v>1</v>
      </c>
      <c r="DI16" s="5" t="b">
        <v>1</v>
      </c>
      <c r="DJ16" s="5" t="b">
        <v>1</v>
      </c>
      <c r="DK16" s="5" t="b">
        <v>1</v>
      </c>
      <c r="DL16" s="5" t="b">
        <v>1</v>
      </c>
      <c r="DM16" s="5" t="b">
        <v>1</v>
      </c>
    </row>
    <row r="17" spans="1:117" s="5" customFormat="1">
      <c r="A17" s="5">
        <v>7</v>
      </c>
      <c r="B17" s="4" t="b" cm="1">
        <f t="array" ref="B17">IF(AND(C7:DM7=TRUE), TRUE, FALSE)</f>
        <v>0</v>
      </c>
      <c r="C17" s="5" t="b" cm="1">
        <f t="array" ref="C17:DM17">'Pull Db Dbeaver '!A7:DK7='Pull Data File'!A7:DK7</f>
        <v>1</v>
      </c>
      <c r="D17" s="5" t="b">
        <v>1</v>
      </c>
      <c r="E17" s="5" t="b">
        <v>1</v>
      </c>
      <c r="F17" s="5" t="b">
        <v>1</v>
      </c>
      <c r="G17" s="5" t="b">
        <v>1</v>
      </c>
      <c r="H17" s="5" t="b">
        <v>1</v>
      </c>
      <c r="I17" s="5" t="b">
        <v>1</v>
      </c>
      <c r="J17" s="5" t="b">
        <v>1</v>
      </c>
      <c r="K17" s="5" t="b">
        <v>1</v>
      </c>
      <c r="L17" s="5" t="b">
        <v>1</v>
      </c>
      <c r="M17" s="5" t="b">
        <v>1</v>
      </c>
      <c r="N17" s="5" t="b">
        <v>1</v>
      </c>
      <c r="O17" s="5" t="b">
        <v>1</v>
      </c>
      <c r="P17" s="5" t="b">
        <v>1</v>
      </c>
      <c r="Q17" s="5" t="b">
        <v>1</v>
      </c>
      <c r="R17" s="5" t="b">
        <v>1</v>
      </c>
      <c r="S17" s="5" t="b">
        <v>1</v>
      </c>
      <c r="T17" s="5" t="b">
        <v>1</v>
      </c>
      <c r="U17" s="5" t="b">
        <v>1</v>
      </c>
      <c r="V17" s="5" t="b">
        <v>1</v>
      </c>
      <c r="W17" s="5" t="b">
        <v>1</v>
      </c>
      <c r="X17" s="5" t="b">
        <v>1</v>
      </c>
      <c r="Y17" s="5" t="b">
        <v>1</v>
      </c>
      <c r="Z17" s="5" t="b">
        <v>1</v>
      </c>
      <c r="AA17" s="5" t="b">
        <v>1</v>
      </c>
      <c r="AB17" s="5" t="b">
        <v>1</v>
      </c>
      <c r="AC17" s="5" t="b">
        <v>0</v>
      </c>
      <c r="AD17" s="5" t="b">
        <v>0</v>
      </c>
      <c r="AE17" s="5" t="b">
        <v>0</v>
      </c>
      <c r="AF17" s="5" t="b">
        <v>1</v>
      </c>
      <c r="AG17" s="5" t="b">
        <v>1</v>
      </c>
      <c r="AH17" s="5" t="b">
        <v>1</v>
      </c>
      <c r="AI17" s="5" t="b">
        <v>1</v>
      </c>
      <c r="AJ17" s="5" t="b">
        <v>1</v>
      </c>
      <c r="AK17" s="5" t="b">
        <v>1</v>
      </c>
      <c r="AL17" s="5" t="b">
        <v>1</v>
      </c>
      <c r="AM17" s="5" t="b">
        <v>1</v>
      </c>
      <c r="AN17" s="5" t="b">
        <v>1</v>
      </c>
      <c r="AO17" s="5" t="b">
        <v>1</v>
      </c>
      <c r="AP17" s="5" t="b">
        <v>1</v>
      </c>
      <c r="AQ17" s="5" t="b">
        <v>1</v>
      </c>
      <c r="AR17" s="5" t="b">
        <v>1</v>
      </c>
      <c r="AS17" s="5" t="b">
        <v>1</v>
      </c>
      <c r="AT17" s="5" t="b">
        <v>1</v>
      </c>
      <c r="AU17" s="5" t="b">
        <v>1</v>
      </c>
      <c r="AV17" s="5" t="b">
        <v>1</v>
      </c>
      <c r="AW17" s="5" t="b">
        <v>1</v>
      </c>
      <c r="AX17" s="5" t="b">
        <v>1</v>
      </c>
      <c r="AY17" s="5" t="b">
        <v>1</v>
      </c>
      <c r="AZ17" s="5" t="b">
        <v>1</v>
      </c>
      <c r="BA17" s="5" t="b">
        <v>1</v>
      </c>
      <c r="BB17" s="5" t="b">
        <v>1</v>
      </c>
      <c r="BC17" s="5" t="b">
        <v>1</v>
      </c>
      <c r="BD17" s="5" t="b">
        <v>1</v>
      </c>
      <c r="BE17" s="5" t="b">
        <v>1</v>
      </c>
      <c r="BF17" s="5" t="b">
        <v>1</v>
      </c>
      <c r="BG17" s="5" t="b">
        <v>1</v>
      </c>
      <c r="BH17" s="5" t="b">
        <v>1</v>
      </c>
      <c r="BI17" s="5" t="b">
        <v>1</v>
      </c>
      <c r="BJ17" s="5" t="b">
        <v>1</v>
      </c>
      <c r="BK17" s="5" t="b">
        <v>1</v>
      </c>
      <c r="BL17" s="5" t="b">
        <v>1</v>
      </c>
      <c r="BM17" s="5" t="b">
        <v>1</v>
      </c>
      <c r="BN17" s="5" t="b">
        <v>1</v>
      </c>
      <c r="BO17" s="5" t="b">
        <v>1</v>
      </c>
      <c r="BP17" s="5" t="b">
        <v>1</v>
      </c>
      <c r="BQ17" s="5" t="b">
        <v>1</v>
      </c>
      <c r="BR17" s="5" t="b">
        <v>1</v>
      </c>
      <c r="BS17" s="5" t="b">
        <v>1</v>
      </c>
      <c r="BT17" s="5" t="b">
        <v>1</v>
      </c>
      <c r="BU17" s="5" t="b">
        <v>1</v>
      </c>
      <c r="BV17" s="5" t="b">
        <v>1</v>
      </c>
      <c r="BW17" s="5" t="b">
        <v>1</v>
      </c>
      <c r="BX17" s="5" t="b">
        <v>1</v>
      </c>
      <c r="BY17" s="5" t="b">
        <v>1</v>
      </c>
      <c r="BZ17" s="5" t="b">
        <v>1</v>
      </c>
      <c r="CA17" s="5" t="b">
        <v>1</v>
      </c>
      <c r="CB17" s="5" t="b">
        <v>1</v>
      </c>
      <c r="CC17" s="5" t="b">
        <v>1</v>
      </c>
      <c r="CD17" s="5" t="b">
        <v>1</v>
      </c>
      <c r="CE17" s="5" t="b">
        <v>1</v>
      </c>
      <c r="CF17" s="5" t="b">
        <v>1</v>
      </c>
      <c r="CG17" s="5" t="b">
        <v>1</v>
      </c>
      <c r="CH17" s="5" t="b">
        <v>1</v>
      </c>
      <c r="CI17" s="5" t="b">
        <v>1</v>
      </c>
      <c r="CJ17" s="5" t="b">
        <v>0</v>
      </c>
      <c r="CK17" s="5" t="b">
        <v>1</v>
      </c>
      <c r="CL17" s="5" t="b">
        <v>1</v>
      </c>
      <c r="CM17" s="5" t="b">
        <v>1</v>
      </c>
      <c r="CN17" s="5" t="b">
        <v>0</v>
      </c>
      <c r="CO17" s="5" t="b">
        <v>0</v>
      </c>
      <c r="CP17" s="5" t="b">
        <v>0</v>
      </c>
      <c r="CQ17" s="5" t="b">
        <v>0</v>
      </c>
      <c r="CR17" s="5" t="b">
        <v>0</v>
      </c>
      <c r="CS17" s="5" t="b">
        <v>0</v>
      </c>
      <c r="CT17" s="5" t="b">
        <v>1</v>
      </c>
      <c r="CU17" s="5" t="b">
        <v>1</v>
      </c>
      <c r="CV17" s="5" t="b">
        <v>1</v>
      </c>
      <c r="CW17" s="5" t="b">
        <v>1</v>
      </c>
      <c r="CX17" s="5" t="b">
        <v>1</v>
      </c>
      <c r="CY17" s="5" t="b">
        <v>1</v>
      </c>
      <c r="CZ17" s="5" t="b">
        <v>1</v>
      </c>
      <c r="DA17" s="5" t="b">
        <v>1</v>
      </c>
      <c r="DB17" s="5" t="b">
        <v>1</v>
      </c>
      <c r="DC17" s="5" t="b">
        <v>1</v>
      </c>
      <c r="DD17" s="5" t="b">
        <v>1</v>
      </c>
      <c r="DE17" s="5" t="b">
        <v>1</v>
      </c>
      <c r="DF17" s="5" t="b">
        <v>1</v>
      </c>
      <c r="DG17" s="5" t="b">
        <v>1</v>
      </c>
      <c r="DH17" s="5" t="b">
        <v>1</v>
      </c>
      <c r="DI17" s="5" t="b">
        <v>1</v>
      </c>
      <c r="DJ17" s="5" t="b">
        <v>1</v>
      </c>
      <c r="DK17" s="5" t="b">
        <v>1</v>
      </c>
      <c r="DL17" s="5" t="b">
        <v>1</v>
      </c>
      <c r="DM17" s="5" t="b">
        <v>1</v>
      </c>
    </row>
    <row r="18" spans="1:117" s="5" customFormat="1">
      <c r="A18" s="5">
        <v>8</v>
      </c>
      <c r="B18" s="4" t="b" cm="1">
        <f t="array" ref="B18">IF(AND(C8:DM8=TRUE), TRUE, FALSE)</f>
        <v>0</v>
      </c>
      <c r="C18" s="5" t="b" cm="1">
        <f t="array" ref="C18:DM18">'Pull Db Dbeaver '!A8:DK8='Pull Data File'!A8:DK8</f>
        <v>1</v>
      </c>
      <c r="D18" s="5" t="b">
        <v>1</v>
      </c>
      <c r="E18" s="5" t="b">
        <v>1</v>
      </c>
      <c r="F18" s="5" t="b">
        <v>1</v>
      </c>
      <c r="G18" s="5" t="b">
        <v>1</v>
      </c>
      <c r="H18" s="5" t="b">
        <v>1</v>
      </c>
      <c r="I18" s="5" t="b">
        <v>1</v>
      </c>
      <c r="J18" s="5" t="b">
        <v>1</v>
      </c>
      <c r="K18" s="5" t="b">
        <v>1</v>
      </c>
      <c r="L18" s="5" t="b">
        <v>1</v>
      </c>
      <c r="M18" s="5" t="b">
        <v>1</v>
      </c>
      <c r="N18" s="5" t="b">
        <v>1</v>
      </c>
      <c r="O18" s="5" t="b">
        <v>1</v>
      </c>
      <c r="P18" s="5" t="b">
        <v>1</v>
      </c>
      <c r="Q18" s="5" t="b">
        <v>1</v>
      </c>
      <c r="R18" s="5" t="b">
        <v>1</v>
      </c>
      <c r="S18" s="5" t="b">
        <v>1</v>
      </c>
      <c r="T18" s="5" t="b">
        <v>1</v>
      </c>
      <c r="U18" s="5" t="b">
        <v>1</v>
      </c>
      <c r="V18" s="5" t="b">
        <v>1</v>
      </c>
      <c r="W18" s="5" t="b">
        <v>1</v>
      </c>
      <c r="X18" s="5" t="b">
        <v>1</v>
      </c>
      <c r="Y18" s="5" t="b">
        <v>1</v>
      </c>
      <c r="Z18" s="5" t="b">
        <v>1</v>
      </c>
      <c r="AA18" s="5" t="b">
        <v>1</v>
      </c>
      <c r="AB18" s="5" t="b">
        <v>1</v>
      </c>
      <c r="AC18" s="5" t="b">
        <v>0</v>
      </c>
      <c r="AD18" s="5" t="b">
        <v>0</v>
      </c>
      <c r="AE18" s="5" t="b">
        <v>0</v>
      </c>
      <c r="AF18" s="5" t="b">
        <v>1</v>
      </c>
      <c r="AG18" s="5" t="b">
        <v>1</v>
      </c>
      <c r="AH18" s="5" t="b">
        <v>1</v>
      </c>
      <c r="AI18" s="5" t="b">
        <v>1</v>
      </c>
      <c r="AJ18" s="5" t="b">
        <v>1</v>
      </c>
      <c r="AK18" s="5" t="b">
        <v>1</v>
      </c>
      <c r="AL18" s="5" t="b">
        <v>1</v>
      </c>
      <c r="AM18" s="5" t="b">
        <v>1</v>
      </c>
      <c r="AN18" s="5" t="b">
        <v>1</v>
      </c>
      <c r="AO18" s="5" t="b">
        <v>1</v>
      </c>
      <c r="AP18" s="5" t="b">
        <v>1</v>
      </c>
      <c r="AQ18" s="5" t="b">
        <v>1</v>
      </c>
      <c r="AR18" s="5" t="b">
        <v>1</v>
      </c>
      <c r="AS18" s="5" t="b">
        <v>1</v>
      </c>
      <c r="AT18" s="5" t="b">
        <v>1</v>
      </c>
      <c r="AU18" s="5" t="b">
        <v>1</v>
      </c>
      <c r="AV18" s="5" t="b">
        <v>1</v>
      </c>
      <c r="AW18" s="5" t="b">
        <v>1</v>
      </c>
      <c r="AX18" s="5" t="b">
        <v>1</v>
      </c>
      <c r="AY18" s="5" t="b">
        <v>1</v>
      </c>
      <c r="AZ18" s="5" t="b">
        <v>1</v>
      </c>
      <c r="BA18" s="5" t="b">
        <v>1</v>
      </c>
      <c r="BB18" s="5" t="b">
        <v>1</v>
      </c>
      <c r="BC18" s="5" t="b">
        <v>1</v>
      </c>
      <c r="BD18" s="5" t="b">
        <v>1</v>
      </c>
      <c r="BE18" s="5" t="b">
        <v>1</v>
      </c>
      <c r="BF18" s="5" t="b">
        <v>1</v>
      </c>
      <c r="BG18" s="5" t="b">
        <v>1</v>
      </c>
      <c r="BH18" s="5" t="b">
        <v>1</v>
      </c>
      <c r="BI18" s="5" t="b">
        <v>1</v>
      </c>
      <c r="BJ18" s="5" t="b">
        <v>1</v>
      </c>
      <c r="BK18" s="5" t="b">
        <v>1</v>
      </c>
      <c r="BL18" s="5" t="b">
        <v>1</v>
      </c>
      <c r="BM18" s="5" t="b">
        <v>1</v>
      </c>
      <c r="BN18" s="5" t="b">
        <v>1</v>
      </c>
      <c r="BO18" s="5" t="b">
        <v>1</v>
      </c>
      <c r="BP18" s="5" t="b">
        <v>1</v>
      </c>
      <c r="BQ18" s="5" t="b">
        <v>1</v>
      </c>
      <c r="BR18" s="5" t="b">
        <v>1</v>
      </c>
      <c r="BS18" s="5" t="b">
        <v>1</v>
      </c>
      <c r="BT18" s="5" t="b">
        <v>1</v>
      </c>
      <c r="BU18" s="5" t="b">
        <v>1</v>
      </c>
      <c r="BV18" s="5" t="b">
        <v>1</v>
      </c>
      <c r="BW18" s="5" t="b">
        <v>1</v>
      </c>
      <c r="BX18" s="5" t="b">
        <v>1</v>
      </c>
      <c r="BY18" s="5" t="b">
        <v>1</v>
      </c>
      <c r="BZ18" s="5" t="b">
        <v>1</v>
      </c>
      <c r="CA18" s="5" t="b">
        <v>1</v>
      </c>
      <c r="CB18" s="5" t="b">
        <v>1</v>
      </c>
      <c r="CC18" s="5" t="b">
        <v>1</v>
      </c>
      <c r="CD18" s="5" t="b">
        <v>1</v>
      </c>
      <c r="CE18" s="5" t="b">
        <v>1</v>
      </c>
      <c r="CF18" s="5" t="b">
        <v>1</v>
      </c>
      <c r="CG18" s="5" t="b">
        <v>1</v>
      </c>
      <c r="CH18" s="5" t="b">
        <v>1</v>
      </c>
      <c r="CI18" s="5" t="b">
        <v>1</v>
      </c>
      <c r="CJ18" s="5" t="b">
        <v>0</v>
      </c>
      <c r="CK18" s="5" t="b">
        <v>1</v>
      </c>
      <c r="CL18" s="5" t="b">
        <v>1</v>
      </c>
      <c r="CM18" s="5" t="b">
        <v>1</v>
      </c>
      <c r="CN18" s="5" t="b">
        <v>0</v>
      </c>
      <c r="CO18" s="5" t="b">
        <v>0</v>
      </c>
      <c r="CP18" s="5" t="b">
        <v>0</v>
      </c>
      <c r="CQ18" s="5" t="b">
        <v>0</v>
      </c>
      <c r="CR18" s="5" t="b">
        <v>0</v>
      </c>
      <c r="CS18" s="5" t="b">
        <v>0</v>
      </c>
      <c r="CT18" s="5" t="b">
        <v>1</v>
      </c>
      <c r="CU18" s="5" t="b">
        <v>1</v>
      </c>
      <c r="CV18" s="5" t="b">
        <v>1</v>
      </c>
      <c r="CW18" s="5" t="b">
        <v>1</v>
      </c>
      <c r="CX18" s="5" t="b">
        <v>1</v>
      </c>
      <c r="CY18" s="5" t="b">
        <v>1</v>
      </c>
      <c r="CZ18" s="5" t="b">
        <v>1</v>
      </c>
      <c r="DA18" s="5" t="b">
        <v>1</v>
      </c>
      <c r="DB18" s="5" t="b">
        <v>1</v>
      </c>
      <c r="DC18" s="5" t="b">
        <v>1</v>
      </c>
      <c r="DD18" s="5" t="b">
        <v>1</v>
      </c>
      <c r="DE18" s="5" t="b">
        <v>1</v>
      </c>
      <c r="DF18" s="5" t="b">
        <v>1</v>
      </c>
      <c r="DG18" s="5" t="b">
        <v>1</v>
      </c>
      <c r="DH18" s="5" t="b">
        <v>1</v>
      </c>
      <c r="DI18" s="5" t="b">
        <v>1</v>
      </c>
      <c r="DJ18" s="5" t="b">
        <v>1</v>
      </c>
      <c r="DK18" s="5" t="b">
        <v>1</v>
      </c>
      <c r="DL18" s="5" t="b">
        <v>1</v>
      </c>
      <c r="DM18" s="5" t="b">
        <v>1</v>
      </c>
    </row>
    <row r="19" spans="1:117" s="5" customFormat="1">
      <c r="A19" s="5">
        <v>9</v>
      </c>
      <c r="B19" s="4" t="b" cm="1">
        <f t="array" ref="B19">IF(AND(C9:DM9=TRUE), TRUE, FALSE)</f>
        <v>0</v>
      </c>
      <c r="C19" s="5" t="b" cm="1">
        <f t="array" ref="C19:DM19">'Pull Db Dbeaver '!A9:DK9='Pull Data File'!A9:DK9</f>
        <v>1</v>
      </c>
      <c r="D19" s="5" t="b">
        <v>1</v>
      </c>
      <c r="E19" s="5" t="b">
        <v>1</v>
      </c>
      <c r="F19" s="5" t="b">
        <v>1</v>
      </c>
      <c r="G19" s="5" t="b">
        <v>1</v>
      </c>
      <c r="H19" s="5" t="b">
        <v>1</v>
      </c>
      <c r="I19" s="5" t="b">
        <v>1</v>
      </c>
      <c r="J19" s="5" t="b">
        <v>1</v>
      </c>
      <c r="K19" s="5" t="b">
        <v>1</v>
      </c>
      <c r="L19" s="5" t="b">
        <v>1</v>
      </c>
      <c r="M19" s="5" t="b">
        <v>1</v>
      </c>
      <c r="N19" s="5" t="b">
        <v>1</v>
      </c>
      <c r="O19" s="5" t="b">
        <v>1</v>
      </c>
      <c r="P19" s="5" t="b">
        <v>1</v>
      </c>
      <c r="Q19" s="5" t="b">
        <v>1</v>
      </c>
      <c r="R19" s="5" t="b">
        <v>1</v>
      </c>
      <c r="S19" s="5" t="b">
        <v>1</v>
      </c>
      <c r="T19" s="5" t="b">
        <v>1</v>
      </c>
      <c r="U19" s="5" t="b">
        <v>1</v>
      </c>
      <c r="V19" s="5" t="b">
        <v>1</v>
      </c>
      <c r="W19" s="5" t="b">
        <v>1</v>
      </c>
      <c r="X19" s="5" t="b">
        <v>1</v>
      </c>
      <c r="Y19" s="5" t="b">
        <v>1</v>
      </c>
      <c r="Z19" s="5" t="b">
        <v>1</v>
      </c>
      <c r="AA19" s="5" t="b">
        <v>1</v>
      </c>
      <c r="AB19" s="5" t="b">
        <v>1</v>
      </c>
      <c r="AC19" s="5" t="b">
        <v>0</v>
      </c>
      <c r="AD19" s="5" t="b">
        <v>0</v>
      </c>
      <c r="AE19" s="5" t="b">
        <v>0</v>
      </c>
      <c r="AF19" s="5" t="b">
        <v>1</v>
      </c>
      <c r="AG19" s="5" t="b">
        <v>1</v>
      </c>
      <c r="AH19" s="5" t="b">
        <v>1</v>
      </c>
      <c r="AI19" s="5" t="b">
        <v>1</v>
      </c>
      <c r="AJ19" s="5" t="b">
        <v>1</v>
      </c>
      <c r="AK19" s="5" t="b">
        <v>1</v>
      </c>
      <c r="AL19" s="5" t="b">
        <v>1</v>
      </c>
      <c r="AM19" s="5" t="b">
        <v>1</v>
      </c>
      <c r="AN19" s="5" t="b">
        <v>1</v>
      </c>
      <c r="AO19" s="5" t="b">
        <v>1</v>
      </c>
      <c r="AP19" s="5" t="b">
        <v>1</v>
      </c>
      <c r="AQ19" s="5" t="b">
        <v>1</v>
      </c>
      <c r="AR19" s="5" t="b">
        <v>1</v>
      </c>
      <c r="AS19" s="5" t="b">
        <v>1</v>
      </c>
      <c r="AT19" s="5" t="b">
        <v>1</v>
      </c>
      <c r="AU19" s="5" t="b">
        <v>1</v>
      </c>
      <c r="AV19" s="5" t="b">
        <v>1</v>
      </c>
      <c r="AW19" s="5" t="b">
        <v>1</v>
      </c>
      <c r="AX19" s="5" t="b">
        <v>1</v>
      </c>
      <c r="AY19" s="5" t="b">
        <v>1</v>
      </c>
      <c r="AZ19" s="5" t="b">
        <v>1</v>
      </c>
      <c r="BA19" s="5" t="b">
        <v>1</v>
      </c>
      <c r="BB19" s="5" t="b">
        <v>1</v>
      </c>
      <c r="BC19" s="5" t="b">
        <v>1</v>
      </c>
      <c r="BD19" s="5" t="b">
        <v>1</v>
      </c>
      <c r="BE19" s="5" t="b">
        <v>1</v>
      </c>
      <c r="BF19" s="5" t="b">
        <v>1</v>
      </c>
      <c r="BG19" s="5" t="b">
        <v>1</v>
      </c>
      <c r="BH19" s="5" t="b">
        <v>1</v>
      </c>
      <c r="BI19" s="5" t="b">
        <v>1</v>
      </c>
      <c r="BJ19" s="5" t="b">
        <v>1</v>
      </c>
      <c r="BK19" s="5" t="b">
        <v>1</v>
      </c>
      <c r="BL19" s="5" t="b">
        <v>1</v>
      </c>
      <c r="BM19" s="5" t="b">
        <v>1</v>
      </c>
      <c r="BN19" s="5" t="b">
        <v>1</v>
      </c>
      <c r="BO19" s="5" t="b">
        <v>1</v>
      </c>
      <c r="BP19" s="5" t="b">
        <v>1</v>
      </c>
      <c r="BQ19" s="5" t="b">
        <v>1</v>
      </c>
      <c r="BR19" s="5" t="b">
        <v>1</v>
      </c>
      <c r="BS19" s="5" t="b">
        <v>1</v>
      </c>
      <c r="BT19" s="5" t="b">
        <v>1</v>
      </c>
      <c r="BU19" s="5" t="b">
        <v>1</v>
      </c>
      <c r="BV19" s="5" t="b">
        <v>1</v>
      </c>
      <c r="BW19" s="5" t="b">
        <v>1</v>
      </c>
      <c r="BX19" s="5" t="b">
        <v>1</v>
      </c>
      <c r="BY19" s="5" t="b">
        <v>1</v>
      </c>
      <c r="BZ19" s="5" t="b">
        <v>1</v>
      </c>
      <c r="CA19" s="5" t="b">
        <v>1</v>
      </c>
      <c r="CB19" s="5" t="b">
        <v>1</v>
      </c>
      <c r="CC19" s="5" t="b">
        <v>1</v>
      </c>
      <c r="CD19" s="5" t="b">
        <v>1</v>
      </c>
      <c r="CE19" s="5" t="b">
        <v>1</v>
      </c>
      <c r="CF19" s="5" t="b">
        <v>1</v>
      </c>
      <c r="CG19" s="5" t="b">
        <v>1</v>
      </c>
      <c r="CH19" s="5" t="b">
        <v>1</v>
      </c>
      <c r="CI19" s="5" t="b">
        <v>1</v>
      </c>
      <c r="CJ19" s="5" t="b">
        <v>0</v>
      </c>
      <c r="CK19" s="5" t="b">
        <v>1</v>
      </c>
      <c r="CL19" s="5" t="b">
        <v>1</v>
      </c>
      <c r="CM19" s="5" t="b">
        <v>1</v>
      </c>
      <c r="CN19" s="5" t="b">
        <v>0</v>
      </c>
      <c r="CO19" s="5" t="b">
        <v>0</v>
      </c>
      <c r="CP19" s="5" t="b">
        <v>0</v>
      </c>
      <c r="CQ19" s="5" t="b">
        <v>0</v>
      </c>
      <c r="CR19" s="5" t="b">
        <v>0</v>
      </c>
      <c r="CS19" s="5" t="b">
        <v>0</v>
      </c>
      <c r="CT19" s="5" t="b">
        <v>1</v>
      </c>
      <c r="CU19" s="5" t="b">
        <v>1</v>
      </c>
      <c r="CV19" s="5" t="b">
        <v>1</v>
      </c>
      <c r="CW19" s="5" t="b">
        <v>1</v>
      </c>
      <c r="CX19" s="5" t="b">
        <v>1</v>
      </c>
      <c r="CY19" s="5" t="b">
        <v>1</v>
      </c>
      <c r="CZ19" s="5" t="b">
        <v>1</v>
      </c>
      <c r="DA19" s="5" t="b">
        <v>1</v>
      </c>
      <c r="DB19" s="5" t="b">
        <v>1</v>
      </c>
      <c r="DC19" s="5" t="b">
        <v>1</v>
      </c>
      <c r="DD19" s="5" t="b">
        <v>1</v>
      </c>
      <c r="DE19" s="5" t="b">
        <v>1</v>
      </c>
      <c r="DF19" s="5" t="b">
        <v>1</v>
      </c>
      <c r="DG19" s="5" t="b">
        <v>1</v>
      </c>
      <c r="DH19" s="5" t="b">
        <v>1</v>
      </c>
      <c r="DI19" s="5" t="b">
        <v>1</v>
      </c>
      <c r="DJ19" s="5" t="b">
        <v>1</v>
      </c>
      <c r="DK19" s="5" t="b">
        <v>1</v>
      </c>
      <c r="DL19" s="5" t="b">
        <v>1</v>
      </c>
      <c r="DM19" s="5" t="b">
        <v>1</v>
      </c>
    </row>
    <row r="20" spans="1:117" s="5" customFormat="1">
      <c r="A20" s="5">
        <v>10</v>
      </c>
      <c r="B20" s="4" t="b" cm="1">
        <f t="array" ref="B20">IF(AND(C10:DM10=TRUE), TRUE, FALSE)</f>
        <v>0</v>
      </c>
      <c r="C20" s="5" t="b" cm="1">
        <f t="array" ref="C20:DM20">'Pull Db Dbeaver '!A10:DK10='Pull Data File'!A10:DK10</f>
        <v>1</v>
      </c>
      <c r="D20" s="5" t="b">
        <v>1</v>
      </c>
      <c r="E20" s="5" t="b">
        <v>1</v>
      </c>
      <c r="F20" s="5" t="b">
        <v>1</v>
      </c>
      <c r="G20" s="5" t="b">
        <v>1</v>
      </c>
      <c r="H20" s="5" t="b">
        <v>1</v>
      </c>
      <c r="I20" s="5" t="b">
        <v>1</v>
      </c>
      <c r="J20" s="5" t="b">
        <v>1</v>
      </c>
      <c r="K20" s="5" t="b">
        <v>1</v>
      </c>
      <c r="L20" s="5" t="b">
        <v>1</v>
      </c>
      <c r="M20" s="5" t="b">
        <v>1</v>
      </c>
      <c r="N20" s="5" t="b">
        <v>1</v>
      </c>
      <c r="O20" s="5" t="b">
        <v>1</v>
      </c>
      <c r="P20" s="5" t="b">
        <v>1</v>
      </c>
      <c r="Q20" s="5" t="b">
        <v>1</v>
      </c>
      <c r="R20" s="5" t="b">
        <v>1</v>
      </c>
      <c r="S20" s="5" t="b">
        <v>1</v>
      </c>
      <c r="T20" s="5" t="b">
        <v>1</v>
      </c>
      <c r="U20" s="5" t="b">
        <v>1</v>
      </c>
      <c r="V20" s="5" t="b">
        <v>1</v>
      </c>
      <c r="W20" s="5" t="b">
        <v>1</v>
      </c>
      <c r="X20" s="5" t="b">
        <v>1</v>
      </c>
      <c r="Y20" s="5" t="b">
        <v>1</v>
      </c>
      <c r="Z20" s="5" t="b">
        <v>1</v>
      </c>
      <c r="AA20" s="5" t="b">
        <v>1</v>
      </c>
      <c r="AB20" s="5" t="b">
        <v>1</v>
      </c>
      <c r="AC20" s="5" t="b">
        <v>0</v>
      </c>
      <c r="AD20" s="5" t="b">
        <v>0</v>
      </c>
      <c r="AE20" s="5" t="b">
        <v>0</v>
      </c>
      <c r="AF20" s="5" t="b">
        <v>1</v>
      </c>
      <c r="AG20" s="5" t="b">
        <v>1</v>
      </c>
      <c r="AH20" s="5" t="b">
        <v>1</v>
      </c>
      <c r="AI20" s="5" t="b">
        <v>1</v>
      </c>
      <c r="AJ20" s="5" t="b">
        <v>1</v>
      </c>
      <c r="AK20" s="5" t="b">
        <v>1</v>
      </c>
      <c r="AL20" s="5" t="b">
        <v>1</v>
      </c>
      <c r="AM20" s="5" t="b">
        <v>1</v>
      </c>
      <c r="AN20" s="5" t="b">
        <v>1</v>
      </c>
      <c r="AO20" s="5" t="b">
        <v>1</v>
      </c>
      <c r="AP20" s="5" t="b">
        <v>1</v>
      </c>
      <c r="AQ20" s="5" t="b">
        <v>1</v>
      </c>
      <c r="AR20" s="5" t="b">
        <v>1</v>
      </c>
      <c r="AS20" s="5" t="b">
        <v>1</v>
      </c>
      <c r="AT20" s="5" t="b">
        <v>1</v>
      </c>
      <c r="AU20" s="5" t="b">
        <v>1</v>
      </c>
      <c r="AV20" s="5" t="b">
        <v>1</v>
      </c>
      <c r="AW20" s="5" t="b">
        <v>1</v>
      </c>
      <c r="AX20" s="5" t="b">
        <v>1</v>
      </c>
      <c r="AY20" s="5" t="b">
        <v>1</v>
      </c>
      <c r="AZ20" s="5" t="b">
        <v>1</v>
      </c>
      <c r="BA20" s="5" t="b">
        <v>1</v>
      </c>
      <c r="BB20" s="5" t="b">
        <v>1</v>
      </c>
      <c r="BC20" s="5" t="b">
        <v>1</v>
      </c>
      <c r="BD20" s="5" t="b">
        <v>1</v>
      </c>
      <c r="BE20" s="5" t="b">
        <v>1</v>
      </c>
      <c r="BF20" s="5" t="b">
        <v>1</v>
      </c>
      <c r="BG20" s="5" t="b">
        <v>1</v>
      </c>
      <c r="BH20" s="5" t="b">
        <v>1</v>
      </c>
      <c r="BI20" s="5" t="b">
        <v>1</v>
      </c>
      <c r="BJ20" s="5" t="b">
        <v>1</v>
      </c>
      <c r="BK20" s="5" t="b">
        <v>1</v>
      </c>
      <c r="BL20" s="5" t="b">
        <v>1</v>
      </c>
      <c r="BM20" s="5" t="b">
        <v>1</v>
      </c>
      <c r="BN20" s="5" t="b">
        <v>1</v>
      </c>
      <c r="BO20" s="5" t="b">
        <v>1</v>
      </c>
      <c r="BP20" s="5" t="b">
        <v>1</v>
      </c>
      <c r="BQ20" s="5" t="b">
        <v>1</v>
      </c>
      <c r="BR20" s="5" t="b">
        <v>1</v>
      </c>
      <c r="BS20" s="5" t="b">
        <v>1</v>
      </c>
      <c r="BT20" s="5" t="b">
        <v>1</v>
      </c>
      <c r="BU20" s="5" t="b">
        <v>1</v>
      </c>
      <c r="BV20" s="5" t="b">
        <v>1</v>
      </c>
      <c r="BW20" s="5" t="b">
        <v>1</v>
      </c>
      <c r="BX20" s="5" t="b">
        <v>1</v>
      </c>
      <c r="BY20" s="5" t="b">
        <v>1</v>
      </c>
      <c r="BZ20" s="5" t="b">
        <v>1</v>
      </c>
      <c r="CA20" s="5" t="b">
        <v>1</v>
      </c>
      <c r="CB20" s="5" t="b">
        <v>1</v>
      </c>
      <c r="CC20" s="5" t="b">
        <v>1</v>
      </c>
      <c r="CD20" s="5" t="b">
        <v>1</v>
      </c>
      <c r="CE20" s="5" t="b">
        <v>1</v>
      </c>
      <c r="CF20" s="5" t="b">
        <v>1</v>
      </c>
      <c r="CG20" s="5" t="b">
        <v>1</v>
      </c>
      <c r="CH20" s="5" t="b">
        <v>1</v>
      </c>
      <c r="CI20" s="5" t="b">
        <v>1</v>
      </c>
      <c r="CJ20" s="5" t="b">
        <v>0</v>
      </c>
      <c r="CK20" s="5" t="b">
        <v>1</v>
      </c>
      <c r="CL20" s="5" t="b">
        <v>1</v>
      </c>
      <c r="CM20" s="5" t="b">
        <v>1</v>
      </c>
      <c r="CN20" s="5" t="b">
        <v>0</v>
      </c>
      <c r="CO20" s="5" t="b">
        <v>0</v>
      </c>
      <c r="CP20" s="5" t="b">
        <v>0</v>
      </c>
      <c r="CQ20" s="5" t="b">
        <v>0</v>
      </c>
      <c r="CR20" s="5" t="b">
        <v>0</v>
      </c>
      <c r="CS20" s="5" t="b">
        <v>0</v>
      </c>
      <c r="CT20" s="5" t="b">
        <v>1</v>
      </c>
      <c r="CU20" s="5" t="b">
        <v>1</v>
      </c>
      <c r="CV20" s="5" t="b">
        <v>1</v>
      </c>
      <c r="CW20" s="5" t="b">
        <v>1</v>
      </c>
      <c r="CX20" s="5" t="b">
        <v>1</v>
      </c>
      <c r="CY20" s="5" t="b">
        <v>1</v>
      </c>
      <c r="CZ20" s="5" t="b">
        <v>1</v>
      </c>
      <c r="DA20" s="5" t="b">
        <v>1</v>
      </c>
      <c r="DB20" s="5" t="b">
        <v>1</v>
      </c>
      <c r="DC20" s="5" t="b">
        <v>1</v>
      </c>
      <c r="DD20" s="5" t="b">
        <v>1</v>
      </c>
      <c r="DE20" s="5" t="b">
        <v>1</v>
      </c>
      <c r="DF20" s="5" t="b">
        <v>1</v>
      </c>
      <c r="DG20" s="5" t="b">
        <v>1</v>
      </c>
      <c r="DH20" s="5" t="b">
        <v>1</v>
      </c>
      <c r="DI20" s="5" t="b">
        <v>1</v>
      </c>
      <c r="DJ20" s="5" t="b">
        <v>1</v>
      </c>
      <c r="DK20" s="5" t="b">
        <v>1</v>
      </c>
      <c r="DL20" s="5" t="b">
        <v>1</v>
      </c>
      <c r="DM20" s="5" t="b">
        <v>1</v>
      </c>
    </row>
    <row r="21" spans="1:117" s="5" customFormat="1">
      <c r="A21" s="5">
        <v>11</v>
      </c>
      <c r="B21" s="4" t="b" cm="1">
        <f t="array" ref="B21">IF(AND(C11:DM11=TRUE), TRUE, FALSE)</f>
        <v>0</v>
      </c>
      <c r="C21" s="5" t="b" cm="1">
        <f t="array" ref="C21:DM21">'Pull Db Dbeaver '!A11:DK11='Pull Data File'!A11:DK11</f>
        <v>1</v>
      </c>
      <c r="D21" s="5" t="b">
        <v>1</v>
      </c>
      <c r="E21" s="5" t="b">
        <v>1</v>
      </c>
      <c r="F21" s="5" t="b">
        <v>1</v>
      </c>
      <c r="G21" s="5" t="b">
        <v>1</v>
      </c>
      <c r="H21" s="5" t="b">
        <v>1</v>
      </c>
      <c r="I21" s="5" t="b">
        <v>1</v>
      </c>
      <c r="J21" s="5" t="b">
        <v>1</v>
      </c>
      <c r="K21" s="5" t="b">
        <v>1</v>
      </c>
      <c r="L21" s="5" t="b">
        <v>1</v>
      </c>
      <c r="M21" s="5" t="b">
        <v>1</v>
      </c>
      <c r="N21" s="5" t="b">
        <v>1</v>
      </c>
      <c r="O21" s="5" t="b">
        <v>1</v>
      </c>
      <c r="P21" s="5" t="b">
        <v>1</v>
      </c>
      <c r="Q21" s="5" t="b">
        <v>1</v>
      </c>
      <c r="R21" s="5" t="b">
        <v>1</v>
      </c>
      <c r="S21" s="5" t="b">
        <v>1</v>
      </c>
      <c r="T21" s="5" t="b">
        <v>1</v>
      </c>
      <c r="U21" s="5" t="b">
        <v>1</v>
      </c>
      <c r="V21" s="5" t="b">
        <v>1</v>
      </c>
      <c r="W21" s="5" t="b">
        <v>1</v>
      </c>
      <c r="X21" s="5" t="b">
        <v>1</v>
      </c>
      <c r="Y21" s="5" t="b">
        <v>1</v>
      </c>
      <c r="Z21" s="5" t="b">
        <v>1</v>
      </c>
      <c r="AA21" s="5" t="b">
        <v>1</v>
      </c>
      <c r="AB21" s="5" t="b">
        <v>1</v>
      </c>
      <c r="AC21" s="5" t="b">
        <v>0</v>
      </c>
      <c r="AD21" s="5" t="b">
        <v>0</v>
      </c>
      <c r="AE21" s="5" t="b">
        <v>0</v>
      </c>
      <c r="AF21" s="5" t="b">
        <v>1</v>
      </c>
      <c r="AG21" s="5" t="b">
        <v>1</v>
      </c>
      <c r="AH21" s="5" t="b">
        <v>1</v>
      </c>
      <c r="AI21" s="5" t="b">
        <v>1</v>
      </c>
      <c r="AJ21" s="5" t="b">
        <v>1</v>
      </c>
      <c r="AK21" s="5" t="b">
        <v>1</v>
      </c>
      <c r="AL21" s="5" t="b">
        <v>1</v>
      </c>
      <c r="AM21" s="5" t="b">
        <v>1</v>
      </c>
      <c r="AN21" s="5" t="b">
        <v>1</v>
      </c>
      <c r="AO21" s="5" t="b">
        <v>1</v>
      </c>
      <c r="AP21" s="5" t="b">
        <v>1</v>
      </c>
      <c r="AQ21" s="5" t="b">
        <v>1</v>
      </c>
      <c r="AR21" s="5" t="b">
        <v>1</v>
      </c>
      <c r="AS21" s="5" t="b">
        <v>1</v>
      </c>
      <c r="AT21" s="5" t="b">
        <v>1</v>
      </c>
      <c r="AU21" s="5" t="b">
        <v>1</v>
      </c>
      <c r="AV21" s="5" t="b">
        <v>1</v>
      </c>
      <c r="AW21" s="5" t="b">
        <v>1</v>
      </c>
      <c r="AX21" s="5" t="b">
        <v>1</v>
      </c>
      <c r="AY21" s="5" t="b">
        <v>1</v>
      </c>
      <c r="AZ21" s="5" t="b">
        <v>1</v>
      </c>
      <c r="BA21" s="5" t="b">
        <v>1</v>
      </c>
      <c r="BB21" s="5" t="b">
        <v>1</v>
      </c>
      <c r="BC21" s="5" t="b">
        <v>1</v>
      </c>
      <c r="BD21" s="5" t="b">
        <v>1</v>
      </c>
      <c r="BE21" s="5" t="b">
        <v>1</v>
      </c>
      <c r="BF21" s="5" t="b">
        <v>1</v>
      </c>
      <c r="BG21" s="5" t="b">
        <v>1</v>
      </c>
      <c r="BH21" s="5" t="b">
        <v>1</v>
      </c>
      <c r="BI21" s="5" t="b">
        <v>1</v>
      </c>
      <c r="BJ21" s="5" t="b">
        <v>1</v>
      </c>
      <c r="BK21" s="5" t="b">
        <v>1</v>
      </c>
      <c r="BL21" s="5" t="b">
        <v>1</v>
      </c>
      <c r="BM21" s="5" t="b">
        <v>1</v>
      </c>
      <c r="BN21" s="5" t="b">
        <v>1</v>
      </c>
      <c r="BO21" s="5" t="b">
        <v>1</v>
      </c>
      <c r="BP21" s="5" t="b">
        <v>1</v>
      </c>
      <c r="BQ21" s="5" t="b">
        <v>1</v>
      </c>
      <c r="BR21" s="5" t="b">
        <v>1</v>
      </c>
      <c r="BS21" s="5" t="b">
        <v>1</v>
      </c>
      <c r="BT21" s="5" t="b">
        <v>1</v>
      </c>
      <c r="BU21" s="5" t="b">
        <v>1</v>
      </c>
      <c r="BV21" s="5" t="b">
        <v>1</v>
      </c>
      <c r="BW21" s="5" t="b">
        <v>1</v>
      </c>
      <c r="BX21" s="5" t="b">
        <v>1</v>
      </c>
      <c r="BY21" s="5" t="b">
        <v>1</v>
      </c>
      <c r="BZ21" s="5" t="b">
        <v>1</v>
      </c>
      <c r="CA21" s="5" t="b">
        <v>1</v>
      </c>
      <c r="CB21" s="5" t="b">
        <v>1</v>
      </c>
      <c r="CC21" s="5" t="b">
        <v>1</v>
      </c>
      <c r="CD21" s="5" t="b">
        <v>1</v>
      </c>
      <c r="CE21" s="5" t="b">
        <v>1</v>
      </c>
      <c r="CF21" s="5" t="b">
        <v>1</v>
      </c>
      <c r="CG21" s="5" t="b">
        <v>1</v>
      </c>
      <c r="CH21" s="5" t="b">
        <v>1</v>
      </c>
      <c r="CI21" s="5" t="b">
        <v>1</v>
      </c>
      <c r="CJ21" s="5" t="b">
        <v>0</v>
      </c>
      <c r="CK21" s="5" t="b">
        <v>1</v>
      </c>
      <c r="CL21" s="5" t="b">
        <v>1</v>
      </c>
      <c r="CM21" s="5" t="b">
        <v>1</v>
      </c>
      <c r="CN21" s="5" t="b">
        <v>0</v>
      </c>
      <c r="CO21" s="5" t="b">
        <v>0</v>
      </c>
      <c r="CP21" s="5" t="b">
        <v>0</v>
      </c>
      <c r="CQ21" s="5" t="b">
        <v>0</v>
      </c>
      <c r="CR21" s="5" t="b">
        <v>0</v>
      </c>
      <c r="CS21" s="5" t="b">
        <v>0</v>
      </c>
      <c r="CT21" s="5" t="b">
        <v>1</v>
      </c>
      <c r="CU21" s="5" t="b">
        <v>1</v>
      </c>
      <c r="CV21" s="5" t="b">
        <v>1</v>
      </c>
      <c r="CW21" s="5" t="b">
        <v>1</v>
      </c>
      <c r="CX21" s="5" t="b">
        <v>1</v>
      </c>
      <c r="CY21" s="5" t="b">
        <v>1</v>
      </c>
      <c r="CZ21" s="5" t="b">
        <v>1</v>
      </c>
      <c r="DA21" s="5" t="b">
        <v>1</v>
      </c>
      <c r="DB21" s="5" t="b">
        <v>1</v>
      </c>
      <c r="DC21" s="5" t="b">
        <v>1</v>
      </c>
      <c r="DD21" s="5" t="b">
        <v>1</v>
      </c>
      <c r="DE21" s="5" t="b">
        <v>1</v>
      </c>
      <c r="DF21" s="5" t="b">
        <v>1</v>
      </c>
      <c r="DG21" s="5" t="b">
        <v>1</v>
      </c>
      <c r="DH21" s="5" t="b">
        <v>1</v>
      </c>
      <c r="DI21" s="5" t="b">
        <v>1</v>
      </c>
      <c r="DJ21" s="5" t="b">
        <v>1</v>
      </c>
      <c r="DK21" s="5" t="b">
        <v>1</v>
      </c>
      <c r="DL21" s="5" t="b">
        <v>1</v>
      </c>
      <c r="DM21" s="5" t="b">
        <v>1</v>
      </c>
    </row>
    <row r="22" spans="1:117" s="5" customFormat="1">
      <c r="A22" s="5">
        <v>12</v>
      </c>
      <c r="B22" s="4" t="b" cm="1">
        <f t="array" ref="B22">IF(AND(C12:DM12=TRUE), TRUE, FALSE)</f>
        <v>0</v>
      </c>
      <c r="C22" s="5" t="b" cm="1">
        <f t="array" ref="C22:DM22">'Pull Db Dbeaver '!A12:DK12='Pull Data File'!A12:DK12</f>
        <v>1</v>
      </c>
      <c r="D22" s="5" t="b">
        <v>1</v>
      </c>
      <c r="E22" s="5" t="b">
        <v>1</v>
      </c>
      <c r="F22" s="5" t="b">
        <v>1</v>
      </c>
      <c r="G22" s="5" t="b">
        <v>1</v>
      </c>
      <c r="H22" s="5" t="b">
        <v>1</v>
      </c>
      <c r="I22" s="5" t="b">
        <v>1</v>
      </c>
      <c r="J22" s="5" t="b">
        <v>1</v>
      </c>
      <c r="K22" s="5" t="b">
        <v>1</v>
      </c>
      <c r="L22" s="5" t="b">
        <v>1</v>
      </c>
      <c r="M22" s="5" t="b">
        <v>1</v>
      </c>
      <c r="N22" s="5" t="b">
        <v>1</v>
      </c>
      <c r="O22" s="5" t="b">
        <v>1</v>
      </c>
      <c r="P22" s="5" t="b">
        <v>1</v>
      </c>
      <c r="Q22" s="5" t="b">
        <v>1</v>
      </c>
      <c r="R22" s="5" t="b">
        <v>1</v>
      </c>
      <c r="S22" s="5" t="b">
        <v>1</v>
      </c>
      <c r="T22" s="5" t="b">
        <v>1</v>
      </c>
      <c r="U22" s="5" t="b">
        <v>1</v>
      </c>
      <c r="V22" s="5" t="b">
        <v>1</v>
      </c>
      <c r="W22" s="5" t="b">
        <v>1</v>
      </c>
      <c r="X22" s="5" t="b">
        <v>1</v>
      </c>
      <c r="Y22" s="5" t="b">
        <v>1</v>
      </c>
      <c r="Z22" s="5" t="b">
        <v>1</v>
      </c>
      <c r="AA22" s="5" t="b">
        <v>1</v>
      </c>
      <c r="AB22" s="5" t="b">
        <v>1</v>
      </c>
      <c r="AC22" s="5" t="b">
        <v>0</v>
      </c>
      <c r="AD22" s="5" t="b">
        <v>0</v>
      </c>
      <c r="AE22" s="5" t="b">
        <v>0</v>
      </c>
      <c r="AF22" s="5" t="b">
        <v>1</v>
      </c>
      <c r="AG22" s="5" t="b">
        <v>1</v>
      </c>
      <c r="AH22" s="5" t="b">
        <v>1</v>
      </c>
      <c r="AI22" s="5" t="b">
        <v>1</v>
      </c>
      <c r="AJ22" s="5" t="b">
        <v>1</v>
      </c>
      <c r="AK22" s="5" t="b">
        <v>1</v>
      </c>
      <c r="AL22" s="5" t="b">
        <v>1</v>
      </c>
      <c r="AM22" s="5" t="b">
        <v>1</v>
      </c>
      <c r="AN22" s="5" t="b">
        <v>1</v>
      </c>
      <c r="AO22" s="5" t="b">
        <v>1</v>
      </c>
      <c r="AP22" s="5" t="b">
        <v>1</v>
      </c>
      <c r="AQ22" s="5" t="b">
        <v>1</v>
      </c>
      <c r="AR22" s="5" t="b">
        <v>1</v>
      </c>
      <c r="AS22" s="5" t="b">
        <v>1</v>
      </c>
      <c r="AT22" s="5" t="b">
        <v>1</v>
      </c>
      <c r="AU22" s="5" t="b">
        <v>1</v>
      </c>
      <c r="AV22" s="5" t="b">
        <v>1</v>
      </c>
      <c r="AW22" s="5" t="b">
        <v>1</v>
      </c>
      <c r="AX22" s="5" t="b">
        <v>1</v>
      </c>
      <c r="AY22" s="5" t="b">
        <v>1</v>
      </c>
      <c r="AZ22" s="5" t="b">
        <v>1</v>
      </c>
      <c r="BA22" s="5" t="b">
        <v>1</v>
      </c>
      <c r="BB22" s="5" t="b">
        <v>1</v>
      </c>
      <c r="BC22" s="5" t="b">
        <v>1</v>
      </c>
      <c r="BD22" s="5" t="b">
        <v>1</v>
      </c>
      <c r="BE22" s="5" t="b">
        <v>1</v>
      </c>
      <c r="BF22" s="5" t="b">
        <v>1</v>
      </c>
      <c r="BG22" s="5" t="b">
        <v>1</v>
      </c>
      <c r="BH22" s="5" t="b">
        <v>1</v>
      </c>
      <c r="BI22" s="5" t="b">
        <v>1</v>
      </c>
      <c r="BJ22" s="5" t="b">
        <v>1</v>
      </c>
      <c r="BK22" s="5" t="b">
        <v>1</v>
      </c>
      <c r="BL22" s="5" t="b">
        <v>1</v>
      </c>
      <c r="BM22" s="5" t="b">
        <v>1</v>
      </c>
      <c r="BN22" s="5" t="b">
        <v>1</v>
      </c>
      <c r="BO22" s="5" t="b">
        <v>1</v>
      </c>
      <c r="BP22" s="5" t="b">
        <v>1</v>
      </c>
      <c r="BQ22" s="5" t="b">
        <v>1</v>
      </c>
      <c r="BR22" s="5" t="b">
        <v>1</v>
      </c>
      <c r="BS22" s="5" t="b">
        <v>1</v>
      </c>
      <c r="BT22" s="5" t="b">
        <v>1</v>
      </c>
      <c r="BU22" s="5" t="b">
        <v>1</v>
      </c>
      <c r="BV22" s="5" t="b">
        <v>1</v>
      </c>
      <c r="BW22" s="5" t="b">
        <v>1</v>
      </c>
      <c r="BX22" s="5" t="b">
        <v>1</v>
      </c>
      <c r="BY22" s="5" t="b">
        <v>1</v>
      </c>
      <c r="BZ22" s="5" t="b">
        <v>1</v>
      </c>
      <c r="CA22" s="5" t="b">
        <v>1</v>
      </c>
      <c r="CB22" s="5" t="b">
        <v>1</v>
      </c>
      <c r="CC22" s="5" t="b">
        <v>1</v>
      </c>
      <c r="CD22" s="5" t="b">
        <v>1</v>
      </c>
      <c r="CE22" s="5" t="b">
        <v>1</v>
      </c>
      <c r="CF22" s="5" t="b">
        <v>1</v>
      </c>
      <c r="CG22" s="5" t="b">
        <v>1</v>
      </c>
      <c r="CH22" s="5" t="b">
        <v>1</v>
      </c>
      <c r="CI22" s="5" t="b">
        <v>1</v>
      </c>
      <c r="CJ22" s="5" t="b">
        <v>0</v>
      </c>
      <c r="CK22" s="5" t="b">
        <v>1</v>
      </c>
      <c r="CL22" s="5" t="b">
        <v>1</v>
      </c>
      <c r="CM22" s="5" t="b">
        <v>1</v>
      </c>
      <c r="CN22" s="5" t="b">
        <v>0</v>
      </c>
      <c r="CO22" s="5" t="b">
        <v>0</v>
      </c>
      <c r="CP22" s="5" t="b">
        <v>0</v>
      </c>
      <c r="CQ22" s="5" t="b">
        <v>0</v>
      </c>
      <c r="CR22" s="5" t="b">
        <v>0</v>
      </c>
      <c r="CS22" s="5" t="b">
        <v>0</v>
      </c>
      <c r="CT22" s="5" t="b">
        <v>1</v>
      </c>
      <c r="CU22" s="5" t="b">
        <v>1</v>
      </c>
      <c r="CV22" s="5" t="b">
        <v>1</v>
      </c>
      <c r="CW22" s="5" t="b">
        <v>1</v>
      </c>
      <c r="CX22" s="5" t="b">
        <v>1</v>
      </c>
      <c r="CY22" s="5" t="b">
        <v>1</v>
      </c>
      <c r="CZ22" s="5" t="b">
        <v>1</v>
      </c>
      <c r="DA22" s="5" t="b">
        <v>1</v>
      </c>
      <c r="DB22" s="5" t="b">
        <v>1</v>
      </c>
      <c r="DC22" s="5" t="b">
        <v>1</v>
      </c>
      <c r="DD22" s="5" t="b">
        <v>1</v>
      </c>
      <c r="DE22" s="5" t="b">
        <v>1</v>
      </c>
      <c r="DF22" s="5" t="b">
        <v>1</v>
      </c>
      <c r="DG22" s="5" t="b">
        <v>1</v>
      </c>
      <c r="DH22" s="5" t="b">
        <v>1</v>
      </c>
      <c r="DI22" s="5" t="b">
        <v>1</v>
      </c>
      <c r="DJ22" s="5" t="b">
        <v>1</v>
      </c>
      <c r="DK22" s="5" t="b">
        <v>1</v>
      </c>
      <c r="DL22" s="5" t="b">
        <v>1</v>
      </c>
      <c r="DM22" s="5" t="b">
        <v>1</v>
      </c>
    </row>
    <row r="23" spans="1:117" s="5" customFormat="1">
      <c r="A23" s="5">
        <v>13</v>
      </c>
      <c r="B23" s="4" t="b" cm="1">
        <f t="array" ref="B23">IF(AND(C13:DM13=TRUE), TRUE, FALSE)</f>
        <v>0</v>
      </c>
      <c r="C23" s="5" t="b" cm="1">
        <f t="array" ref="C23:DM23">'Pull Db Dbeaver '!A13:DK13='Pull Data File'!A13:DK13</f>
        <v>1</v>
      </c>
      <c r="D23" s="5" t="b">
        <v>1</v>
      </c>
      <c r="E23" s="5" t="b">
        <v>1</v>
      </c>
      <c r="F23" s="5" t="b">
        <v>1</v>
      </c>
      <c r="G23" s="5" t="b">
        <v>1</v>
      </c>
      <c r="H23" s="5" t="b">
        <v>1</v>
      </c>
      <c r="I23" s="5" t="b">
        <v>1</v>
      </c>
      <c r="J23" s="5" t="b">
        <v>1</v>
      </c>
      <c r="K23" s="5" t="b">
        <v>1</v>
      </c>
      <c r="L23" s="5" t="b">
        <v>1</v>
      </c>
      <c r="M23" s="5" t="b">
        <v>1</v>
      </c>
      <c r="N23" s="5" t="b">
        <v>1</v>
      </c>
      <c r="O23" s="5" t="b">
        <v>1</v>
      </c>
      <c r="P23" s="5" t="b">
        <v>1</v>
      </c>
      <c r="Q23" s="5" t="b">
        <v>1</v>
      </c>
      <c r="R23" s="5" t="b">
        <v>1</v>
      </c>
      <c r="S23" s="5" t="b">
        <v>1</v>
      </c>
      <c r="T23" s="5" t="b">
        <v>1</v>
      </c>
      <c r="U23" s="5" t="b">
        <v>1</v>
      </c>
      <c r="V23" s="5" t="b">
        <v>1</v>
      </c>
      <c r="W23" s="5" t="b">
        <v>1</v>
      </c>
      <c r="X23" s="5" t="b">
        <v>1</v>
      </c>
      <c r="Y23" s="5" t="b">
        <v>1</v>
      </c>
      <c r="Z23" s="5" t="b">
        <v>1</v>
      </c>
      <c r="AA23" s="5" t="b">
        <v>1</v>
      </c>
      <c r="AB23" s="5" t="b">
        <v>1</v>
      </c>
      <c r="AC23" s="5" t="b">
        <v>0</v>
      </c>
      <c r="AD23" s="5" t="b">
        <v>0</v>
      </c>
      <c r="AE23" s="5" t="b">
        <v>0</v>
      </c>
      <c r="AF23" s="5" t="b">
        <v>1</v>
      </c>
      <c r="AG23" s="5" t="b">
        <v>1</v>
      </c>
      <c r="AH23" s="5" t="b">
        <v>1</v>
      </c>
      <c r="AI23" s="5" t="b">
        <v>1</v>
      </c>
      <c r="AJ23" s="5" t="b">
        <v>1</v>
      </c>
      <c r="AK23" s="5" t="b">
        <v>1</v>
      </c>
      <c r="AL23" s="5" t="b">
        <v>1</v>
      </c>
      <c r="AM23" s="5" t="b">
        <v>1</v>
      </c>
      <c r="AN23" s="5" t="b">
        <v>1</v>
      </c>
      <c r="AO23" s="5" t="b">
        <v>1</v>
      </c>
      <c r="AP23" s="5" t="b">
        <v>1</v>
      </c>
      <c r="AQ23" s="5" t="b">
        <v>1</v>
      </c>
      <c r="AR23" s="5" t="b">
        <v>1</v>
      </c>
      <c r="AS23" s="5" t="b">
        <v>1</v>
      </c>
      <c r="AT23" s="5" t="b">
        <v>1</v>
      </c>
      <c r="AU23" s="5" t="b">
        <v>1</v>
      </c>
      <c r="AV23" s="5" t="b">
        <v>1</v>
      </c>
      <c r="AW23" s="5" t="b">
        <v>1</v>
      </c>
      <c r="AX23" s="5" t="b">
        <v>1</v>
      </c>
      <c r="AY23" s="5" t="b">
        <v>1</v>
      </c>
      <c r="AZ23" s="5" t="b">
        <v>1</v>
      </c>
      <c r="BA23" s="5" t="b">
        <v>1</v>
      </c>
      <c r="BB23" s="5" t="b">
        <v>1</v>
      </c>
      <c r="BC23" s="5" t="b">
        <v>1</v>
      </c>
      <c r="BD23" s="5" t="b">
        <v>1</v>
      </c>
      <c r="BE23" s="5" t="b">
        <v>1</v>
      </c>
      <c r="BF23" s="5" t="b">
        <v>1</v>
      </c>
      <c r="BG23" s="5" t="b">
        <v>1</v>
      </c>
      <c r="BH23" s="5" t="b">
        <v>1</v>
      </c>
      <c r="BI23" s="5" t="b">
        <v>1</v>
      </c>
      <c r="BJ23" s="5" t="b">
        <v>1</v>
      </c>
      <c r="BK23" s="5" t="b">
        <v>1</v>
      </c>
      <c r="BL23" s="5" t="b">
        <v>1</v>
      </c>
      <c r="BM23" s="5" t="b">
        <v>1</v>
      </c>
      <c r="BN23" s="5" t="b">
        <v>1</v>
      </c>
      <c r="BO23" s="5" t="b">
        <v>1</v>
      </c>
      <c r="BP23" s="5" t="b">
        <v>1</v>
      </c>
      <c r="BQ23" s="5" t="b">
        <v>1</v>
      </c>
      <c r="BR23" s="5" t="b">
        <v>1</v>
      </c>
      <c r="BS23" s="5" t="b">
        <v>1</v>
      </c>
      <c r="BT23" s="5" t="b">
        <v>1</v>
      </c>
      <c r="BU23" s="5" t="b">
        <v>1</v>
      </c>
      <c r="BV23" s="5" t="b">
        <v>1</v>
      </c>
      <c r="BW23" s="5" t="b">
        <v>1</v>
      </c>
      <c r="BX23" s="5" t="b">
        <v>1</v>
      </c>
      <c r="BY23" s="5" t="b">
        <v>1</v>
      </c>
      <c r="BZ23" s="5" t="b">
        <v>1</v>
      </c>
      <c r="CA23" s="5" t="b">
        <v>1</v>
      </c>
      <c r="CB23" s="5" t="b">
        <v>1</v>
      </c>
      <c r="CC23" s="5" t="b">
        <v>1</v>
      </c>
      <c r="CD23" s="5" t="b">
        <v>1</v>
      </c>
      <c r="CE23" s="5" t="b">
        <v>1</v>
      </c>
      <c r="CF23" s="5" t="b">
        <v>1</v>
      </c>
      <c r="CG23" s="5" t="b">
        <v>1</v>
      </c>
      <c r="CH23" s="5" t="b">
        <v>1</v>
      </c>
      <c r="CI23" s="5" t="b">
        <v>1</v>
      </c>
      <c r="CJ23" s="5" t="b">
        <v>0</v>
      </c>
      <c r="CK23" s="5" t="b">
        <v>1</v>
      </c>
      <c r="CL23" s="5" t="b">
        <v>1</v>
      </c>
      <c r="CM23" s="5" t="b">
        <v>1</v>
      </c>
      <c r="CN23" s="5" t="b">
        <v>0</v>
      </c>
      <c r="CO23" s="5" t="b">
        <v>0</v>
      </c>
      <c r="CP23" s="5" t="b">
        <v>0</v>
      </c>
      <c r="CQ23" s="5" t="b">
        <v>0</v>
      </c>
      <c r="CR23" s="5" t="b">
        <v>0</v>
      </c>
      <c r="CS23" s="5" t="b">
        <v>0</v>
      </c>
      <c r="CT23" s="5" t="b">
        <v>1</v>
      </c>
      <c r="CU23" s="5" t="b">
        <v>1</v>
      </c>
      <c r="CV23" s="5" t="b">
        <v>1</v>
      </c>
      <c r="CW23" s="5" t="b">
        <v>1</v>
      </c>
      <c r="CX23" s="5" t="b">
        <v>1</v>
      </c>
      <c r="CY23" s="5" t="b">
        <v>1</v>
      </c>
      <c r="CZ23" s="5" t="b">
        <v>1</v>
      </c>
      <c r="DA23" s="5" t="b">
        <v>1</v>
      </c>
      <c r="DB23" s="5" t="b">
        <v>1</v>
      </c>
      <c r="DC23" s="5" t="b">
        <v>1</v>
      </c>
      <c r="DD23" s="5" t="b">
        <v>1</v>
      </c>
      <c r="DE23" s="5" t="b">
        <v>1</v>
      </c>
      <c r="DF23" s="5" t="b">
        <v>1</v>
      </c>
      <c r="DG23" s="5" t="b">
        <v>1</v>
      </c>
      <c r="DH23" s="5" t="b">
        <v>1</v>
      </c>
      <c r="DI23" s="5" t="b">
        <v>1</v>
      </c>
      <c r="DJ23" s="5" t="b">
        <v>1</v>
      </c>
      <c r="DK23" s="5" t="b">
        <v>1</v>
      </c>
      <c r="DL23" s="5" t="b">
        <v>1</v>
      </c>
      <c r="DM23" s="5" t="b">
        <v>1</v>
      </c>
    </row>
    <row r="24" spans="1:117" s="5" customFormat="1">
      <c r="A24" s="5">
        <v>14</v>
      </c>
      <c r="B24" s="4" t="b" cm="1">
        <f t="array" ref="B24">IF(AND(C14:DM14=TRUE), TRUE, FALSE)</f>
        <v>0</v>
      </c>
      <c r="C24" s="5" t="b" cm="1">
        <f t="array" ref="C24:DM24">'Pull Db Dbeaver '!A14:DK14='Pull Data File'!A14:DK14</f>
        <v>1</v>
      </c>
      <c r="D24" s="5" t="b">
        <v>1</v>
      </c>
      <c r="E24" s="5" t="b">
        <v>1</v>
      </c>
      <c r="F24" s="5" t="b">
        <v>1</v>
      </c>
      <c r="G24" s="5" t="b">
        <v>1</v>
      </c>
      <c r="H24" s="5" t="b">
        <v>1</v>
      </c>
      <c r="I24" s="5" t="b">
        <v>1</v>
      </c>
      <c r="J24" s="5" t="b">
        <v>1</v>
      </c>
      <c r="K24" s="5" t="b">
        <v>1</v>
      </c>
      <c r="L24" s="5" t="b">
        <v>1</v>
      </c>
      <c r="M24" s="5" t="b">
        <v>1</v>
      </c>
      <c r="N24" s="5" t="b">
        <v>1</v>
      </c>
      <c r="O24" s="5" t="b">
        <v>1</v>
      </c>
      <c r="P24" s="5" t="b">
        <v>1</v>
      </c>
      <c r="Q24" s="5" t="b">
        <v>1</v>
      </c>
      <c r="R24" s="5" t="b">
        <v>1</v>
      </c>
      <c r="S24" s="5" t="b">
        <v>1</v>
      </c>
      <c r="T24" s="5" t="b">
        <v>1</v>
      </c>
      <c r="U24" s="5" t="b">
        <v>1</v>
      </c>
      <c r="V24" s="5" t="b">
        <v>1</v>
      </c>
      <c r="W24" s="5" t="b">
        <v>1</v>
      </c>
      <c r="X24" s="5" t="b">
        <v>1</v>
      </c>
      <c r="Y24" s="5" t="b">
        <v>1</v>
      </c>
      <c r="Z24" s="5" t="b">
        <v>1</v>
      </c>
      <c r="AA24" s="5" t="b">
        <v>1</v>
      </c>
      <c r="AB24" s="5" t="b">
        <v>1</v>
      </c>
      <c r="AC24" s="5" t="b">
        <v>0</v>
      </c>
      <c r="AD24" s="5" t="b">
        <v>0</v>
      </c>
      <c r="AE24" s="5" t="b">
        <v>0</v>
      </c>
      <c r="AF24" s="5" t="b">
        <v>1</v>
      </c>
      <c r="AG24" s="5" t="b">
        <v>1</v>
      </c>
      <c r="AH24" s="5" t="b">
        <v>1</v>
      </c>
      <c r="AI24" s="5" t="b">
        <v>1</v>
      </c>
      <c r="AJ24" s="5" t="b">
        <v>1</v>
      </c>
      <c r="AK24" s="5" t="b">
        <v>1</v>
      </c>
      <c r="AL24" s="5" t="b">
        <v>1</v>
      </c>
      <c r="AM24" s="5" t="b">
        <v>1</v>
      </c>
      <c r="AN24" s="5" t="b">
        <v>1</v>
      </c>
      <c r="AO24" s="5" t="b">
        <v>1</v>
      </c>
      <c r="AP24" s="5" t="b">
        <v>1</v>
      </c>
      <c r="AQ24" s="5" t="b">
        <v>1</v>
      </c>
      <c r="AR24" s="5" t="b">
        <v>1</v>
      </c>
      <c r="AS24" s="5" t="b">
        <v>1</v>
      </c>
      <c r="AT24" s="5" t="b">
        <v>1</v>
      </c>
      <c r="AU24" s="5" t="b">
        <v>1</v>
      </c>
      <c r="AV24" s="5" t="b">
        <v>1</v>
      </c>
      <c r="AW24" s="5" t="b">
        <v>1</v>
      </c>
      <c r="AX24" s="5" t="b">
        <v>1</v>
      </c>
      <c r="AY24" s="5" t="b">
        <v>1</v>
      </c>
      <c r="AZ24" s="5" t="b">
        <v>1</v>
      </c>
      <c r="BA24" s="5" t="b">
        <v>1</v>
      </c>
      <c r="BB24" s="5" t="b">
        <v>1</v>
      </c>
      <c r="BC24" s="5" t="b">
        <v>1</v>
      </c>
      <c r="BD24" s="5" t="b">
        <v>1</v>
      </c>
      <c r="BE24" s="5" t="b">
        <v>1</v>
      </c>
      <c r="BF24" s="5" t="b">
        <v>1</v>
      </c>
      <c r="BG24" s="5" t="b">
        <v>1</v>
      </c>
      <c r="BH24" s="5" t="b">
        <v>1</v>
      </c>
      <c r="BI24" s="5" t="b">
        <v>1</v>
      </c>
      <c r="BJ24" s="5" t="b">
        <v>1</v>
      </c>
      <c r="BK24" s="5" t="b">
        <v>1</v>
      </c>
      <c r="BL24" s="5" t="b">
        <v>1</v>
      </c>
      <c r="BM24" s="5" t="b">
        <v>1</v>
      </c>
      <c r="BN24" s="5" t="b">
        <v>1</v>
      </c>
      <c r="BO24" s="5" t="b">
        <v>1</v>
      </c>
      <c r="BP24" s="5" t="b">
        <v>1</v>
      </c>
      <c r="BQ24" s="5" t="b">
        <v>1</v>
      </c>
      <c r="BR24" s="5" t="b">
        <v>1</v>
      </c>
      <c r="BS24" s="5" t="b">
        <v>1</v>
      </c>
      <c r="BT24" s="5" t="b">
        <v>1</v>
      </c>
      <c r="BU24" s="5" t="b">
        <v>1</v>
      </c>
      <c r="BV24" s="5" t="b">
        <v>1</v>
      </c>
      <c r="BW24" s="5" t="b">
        <v>1</v>
      </c>
      <c r="BX24" s="5" t="b">
        <v>1</v>
      </c>
      <c r="BY24" s="5" t="b">
        <v>1</v>
      </c>
      <c r="BZ24" s="5" t="b">
        <v>1</v>
      </c>
      <c r="CA24" s="5" t="b">
        <v>1</v>
      </c>
      <c r="CB24" s="5" t="b">
        <v>1</v>
      </c>
      <c r="CC24" s="5" t="b">
        <v>1</v>
      </c>
      <c r="CD24" s="5" t="b">
        <v>1</v>
      </c>
      <c r="CE24" s="5" t="b">
        <v>1</v>
      </c>
      <c r="CF24" s="5" t="b">
        <v>1</v>
      </c>
      <c r="CG24" s="5" t="b">
        <v>1</v>
      </c>
      <c r="CH24" s="5" t="b">
        <v>1</v>
      </c>
      <c r="CI24" s="5" t="b">
        <v>1</v>
      </c>
      <c r="CJ24" s="5" t="b">
        <v>0</v>
      </c>
      <c r="CK24" s="5" t="b">
        <v>1</v>
      </c>
      <c r="CL24" s="5" t="b">
        <v>1</v>
      </c>
      <c r="CM24" s="5" t="b">
        <v>1</v>
      </c>
      <c r="CN24" s="5" t="b">
        <v>0</v>
      </c>
      <c r="CO24" s="5" t="b">
        <v>0</v>
      </c>
      <c r="CP24" s="5" t="b">
        <v>0</v>
      </c>
      <c r="CQ24" s="5" t="b">
        <v>0</v>
      </c>
      <c r="CR24" s="5" t="b">
        <v>0</v>
      </c>
      <c r="CS24" s="5" t="b">
        <v>0</v>
      </c>
      <c r="CT24" s="5" t="b">
        <v>1</v>
      </c>
      <c r="CU24" s="5" t="b">
        <v>1</v>
      </c>
      <c r="CV24" s="5" t="b">
        <v>1</v>
      </c>
      <c r="CW24" s="5" t="b">
        <v>1</v>
      </c>
      <c r="CX24" s="5" t="b">
        <v>1</v>
      </c>
      <c r="CY24" s="5" t="b">
        <v>1</v>
      </c>
      <c r="CZ24" s="5" t="b">
        <v>1</v>
      </c>
      <c r="DA24" s="5" t="b">
        <v>1</v>
      </c>
      <c r="DB24" s="5" t="b">
        <v>1</v>
      </c>
      <c r="DC24" s="5" t="b">
        <v>1</v>
      </c>
      <c r="DD24" s="5" t="b">
        <v>1</v>
      </c>
      <c r="DE24" s="5" t="b">
        <v>1</v>
      </c>
      <c r="DF24" s="5" t="b">
        <v>1</v>
      </c>
      <c r="DG24" s="5" t="b">
        <v>1</v>
      </c>
      <c r="DH24" s="5" t="b">
        <v>1</v>
      </c>
      <c r="DI24" s="5" t="b">
        <v>1</v>
      </c>
      <c r="DJ24" s="5" t="b">
        <v>1</v>
      </c>
      <c r="DK24" s="5" t="b">
        <v>1</v>
      </c>
      <c r="DL24" s="5" t="b">
        <v>1</v>
      </c>
      <c r="DM24" s="5" t="b">
        <v>1</v>
      </c>
    </row>
    <row r="25" spans="1:117" s="5" customFormat="1">
      <c r="A25" s="5">
        <v>15</v>
      </c>
      <c r="B25" s="4" t="b" cm="1">
        <f t="array" ref="B25">IF(AND(C15:DM15=TRUE), TRUE, FALSE)</f>
        <v>0</v>
      </c>
      <c r="C25" s="5" t="b" cm="1">
        <f t="array" ref="C25:DM25">'Pull Db Dbeaver '!A15:DK15='Pull Data File'!A15:DK15</f>
        <v>1</v>
      </c>
      <c r="D25" s="5" t="b">
        <v>1</v>
      </c>
      <c r="E25" s="5" t="b">
        <v>1</v>
      </c>
      <c r="F25" s="5" t="b">
        <v>1</v>
      </c>
      <c r="G25" s="5" t="b">
        <v>1</v>
      </c>
      <c r="H25" s="5" t="b">
        <v>1</v>
      </c>
      <c r="I25" s="5" t="b">
        <v>1</v>
      </c>
      <c r="J25" s="5" t="b">
        <v>1</v>
      </c>
      <c r="K25" s="5" t="b">
        <v>1</v>
      </c>
      <c r="L25" s="5" t="b">
        <v>1</v>
      </c>
      <c r="M25" s="5" t="b">
        <v>1</v>
      </c>
      <c r="N25" s="5" t="b">
        <v>1</v>
      </c>
      <c r="O25" s="5" t="b">
        <v>1</v>
      </c>
      <c r="P25" s="5" t="b">
        <v>1</v>
      </c>
      <c r="Q25" s="5" t="b">
        <v>1</v>
      </c>
      <c r="R25" s="5" t="b">
        <v>1</v>
      </c>
      <c r="S25" s="5" t="b">
        <v>1</v>
      </c>
      <c r="T25" s="5" t="b">
        <v>1</v>
      </c>
      <c r="U25" s="5" t="b">
        <v>1</v>
      </c>
      <c r="V25" s="5" t="b">
        <v>1</v>
      </c>
      <c r="W25" s="5" t="b">
        <v>1</v>
      </c>
      <c r="X25" s="5" t="b">
        <v>1</v>
      </c>
      <c r="Y25" s="5" t="b">
        <v>1</v>
      </c>
      <c r="Z25" s="5" t="b">
        <v>1</v>
      </c>
      <c r="AA25" s="5" t="b">
        <v>1</v>
      </c>
      <c r="AB25" s="5" t="b">
        <v>1</v>
      </c>
      <c r="AC25" s="5" t="b">
        <v>0</v>
      </c>
      <c r="AD25" s="5" t="b">
        <v>0</v>
      </c>
      <c r="AE25" s="5" t="b">
        <v>0</v>
      </c>
      <c r="AF25" s="5" t="b">
        <v>1</v>
      </c>
      <c r="AG25" s="5" t="b">
        <v>1</v>
      </c>
      <c r="AH25" s="5" t="b">
        <v>1</v>
      </c>
      <c r="AI25" s="5" t="b">
        <v>1</v>
      </c>
      <c r="AJ25" s="5" t="b">
        <v>1</v>
      </c>
      <c r="AK25" s="5" t="b">
        <v>1</v>
      </c>
      <c r="AL25" s="5" t="b">
        <v>1</v>
      </c>
      <c r="AM25" s="5" t="b">
        <v>1</v>
      </c>
      <c r="AN25" s="5" t="b">
        <v>1</v>
      </c>
      <c r="AO25" s="5" t="b">
        <v>1</v>
      </c>
      <c r="AP25" s="5" t="b">
        <v>1</v>
      </c>
      <c r="AQ25" s="5" t="b">
        <v>1</v>
      </c>
      <c r="AR25" s="5" t="b">
        <v>1</v>
      </c>
      <c r="AS25" s="5" t="b">
        <v>1</v>
      </c>
      <c r="AT25" s="5" t="b">
        <v>1</v>
      </c>
      <c r="AU25" s="5" t="b">
        <v>1</v>
      </c>
      <c r="AV25" s="5" t="b">
        <v>1</v>
      </c>
      <c r="AW25" s="5" t="b">
        <v>1</v>
      </c>
      <c r="AX25" s="5" t="b">
        <v>1</v>
      </c>
      <c r="AY25" s="5" t="b">
        <v>1</v>
      </c>
      <c r="AZ25" s="5" t="b">
        <v>1</v>
      </c>
      <c r="BA25" s="5" t="b">
        <v>1</v>
      </c>
      <c r="BB25" s="5" t="b">
        <v>1</v>
      </c>
      <c r="BC25" s="5" t="b">
        <v>1</v>
      </c>
      <c r="BD25" s="5" t="b">
        <v>1</v>
      </c>
      <c r="BE25" s="5" t="b">
        <v>1</v>
      </c>
      <c r="BF25" s="5" t="b">
        <v>1</v>
      </c>
      <c r="BG25" s="5" t="b">
        <v>1</v>
      </c>
      <c r="BH25" s="5" t="b">
        <v>1</v>
      </c>
      <c r="BI25" s="5" t="b">
        <v>1</v>
      </c>
      <c r="BJ25" s="5" t="b">
        <v>1</v>
      </c>
      <c r="BK25" s="5" t="b">
        <v>1</v>
      </c>
      <c r="BL25" s="5" t="b">
        <v>1</v>
      </c>
      <c r="BM25" s="5" t="b">
        <v>1</v>
      </c>
      <c r="BN25" s="5" t="b">
        <v>1</v>
      </c>
      <c r="BO25" s="5" t="b">
        <v>1</v>
      </c>
      <c r="BP25" s="5" t="b">
        <v>1</v>
      </c>
      <c r="BQ25" s="5" t="b">
        <v>1</v>
      </c>
      <c r="BR25" s="5" t="b">
        <v>1</v>
      </c>
      <c r="BS25" s="5" t="b">
        <v>1</v>
      </c>
      <c r="BT25" s="5" t="b">
        <v>1</v>
      </c>
      <c r="BU25" s="5" t="b">
        <v>1</v>
      </c>
      <c r="BV25" s="5" t="b">
        <v>1</v>
      </c>
      <c r="BW25" s="5" t="b">
        <v>1</v>
      </c>
      <c r="BX25" s="5" t="b">
        <v>1</v>
      </c>
      <c r="BY25" s="5" t="b">
        <v>1</v>
      </c>
      <c r="BZ25" s="5" t="b">
        <v>1</v>
      </c>
      <c r="CA25" s="5" t="b">
        <v>1</v>
      </c>
      <c r="CB25" s="5" t="b">
        <v>1</v>
      </c>
      <c r="CC25" s="5" t="b">
        <v>1</v>
      </c>
      <c r="CD25" s="5" t="b">
        <v>1</v>
      </c>
      <c r="CE25" s="5" t="b">
        <v>1</v>
      </c>
      <c r="CF25" s="5" t="b">
        <v>1</v>
      </c>
      <c r="CG25" s="5" t="b">
        <v>1</v>
      </c>
      <c r="CH25" s="5" t="b">
        <v>1</v>
      </c>
      <c r="CI25" s="5" t="b">
        <v>1</v>
      </c>
      <c r="CJ25" s="5" t="b">
        <v>0</v>
      </c>
      <c r="CK25" s="5" t="b">
        <v>1</v>
      </c>
      <c r="CL25" s="5" t="b">
        <v>1</v>
      </c>
      <c r="CM25" s="5" t="b">
        <v>1</v>
      </c>
      <c r="CN25" s="5" t="b">
        <v>0</v>
      </c>
      <c r="CO25" s="5" t="b">
        <v>0</v>
      </c>
      <c r="CP25" s="5" t="b">
        <v>0</v>
      </c>
      <c r="CQ25" s="5" t="b">
        <v>0</v>
      </c>
      <c r="CR25" s="5" t="b">
        <v>0</v>
      </c>
      <c r="CS25" s="5" t="b">
        <v>0</v>
      </c>
      <c r="CT25" s="5" t="b">
        <v>1</v>
      </c>
      <c r="CU25" s="5" t="b">
        <v>1</v>
      </c>
      <c r="CV25" s="5" t="b">
        <v>1</v>
      </c>
      <c r="CW25" s="5" t="b">
        <v>1</v>
      </c>
      <c r="CX25" s="5" t="b">
        <v>1</v>
      </c>
      <c r="CY25" s="5" t="b">
        <v>1</v>
      </c>
      <c r="CZ25" s="5" t="b">
        <v>1</v>
      </c>
      <c r="DA25" s="5" t="b">
        <v>1</v>
      </c>
      <c r="DB25" s="5" t="b">
        <v>1</v>
      </c>
      <c r="DC25" s="5" t="b">
        <v>1</v>
      </c>
      <c r="DD25" s="5" t="b">
        <v>1</v>
      </c>
      <c r="DE25" s="5" t="b">
        <v>1</v>
      </c>
      <c r="DF25" s="5" t="b">
        <v>1</v>
      </c>
      <c r="DG25" s="5" t="b">
        <v>1</v>
      </c>
      <c r="DH25" s="5" t="b">
        <v>1</v>
      </c>
      <c r="DI25" s="5" t="b">
        <v>1</v>
      </c>
      <c r="DJ25" s="5" t="b">
        <v>1</v>
      </c>
      <c r="DK25" s="5" t="b">
        <v>1</v>
      </c>
      <c r="DL25" s="5" t="b">
        <v>1</v>
      </c>
      <c r="DM25" s="5" t="b">
        <v>1</v>
      </c>
    </row>
    <row r="26" spans="1:117" s="5" customFormat="1">
      <c r="A26" s="5">
        <v>16</v>
      </c>
      <c r="B26" s="4" t="b" cm="1">
        <f t="array" ref="B26">IF(AND(C15:DM15=TRUE), TRUE, FALSE)</f>
        <v>0</v>
      </c>
      <c r="C26" s="5" t="b" cm="1">
        <f t="array" ref="C26:DM26">'Pull Db Dbeaver '!A16:DK16='Pull Data File'!A16:DK16</f>
        <v>1</v>
      </c>
      <c r="D26" s="5" t="b">
        <v>1</v>
      </c>
      <c r="E26" s="5" t="b">
        <v>1</v>
      </c>
      <c r="F26" s="5" t="b">
        <v>1</v>
      </c>
      <c r="G26" s="5" t="b">
        <v>1</v>
      </c>
      <c r="H26" s="5" t="b">
        <v>1</v>
      </c>
      <c r="I26" s="5" t="b">
        <v>1</v>
      </c>
      <c r="J26" s="5" t="b">
        <v>1</v>
      </c>
      <c r="K26" s="5" t="b">
        <v>1</v>
      </c>
      <c r="L26" s="5" t="b">
        <v>1</v>
      </c>
      <c r="M26" s="5" t="b">
        <v>1</v>
      </c>
      <c r="N26" s="5" t="b">
        <v>1</v>
      </c>
      <c r="O26" s="5" t="b">
        <v>1</v>
      </c>
      <c r="P26" s="5" t="b">
        <v>1</v>
      </c>
      <c r="Q26" s="5" t="b">
        <v>1</v>
      </c>
      <c r="R26" s="5" t="b">
        <v>1</v>
      </c>
      <c r="S26" s="5" t="b">
        <v>1</v>
      </c>
      <c r="T26" s="5" t="b">
        <v>1</v>
      </c>
      <c r="U26" s="5" t="b">
        <v>1</v>
      </c>
      <c r="V26" s="5" t="b">
        <v>1</v>
      </c>
      <c r="W26" s="5" t="b">
        <v>1</v>
      </c>
      <c r="X26" s="5" t="b">
        <v>1</v>
      </c>
      <c r="Y26" s="5" t="b">
        <v>1</v>
      </c>
      <c r="Z26" s="5" t="b">
        <v>1</v>
      </c>
      <c r="AA26" s="5" t="b">
        <v>1</v>
      </c>
      <c r="AB26" s="5" t="b">
        <v>1</v>
      </c>
      <c r="AC26" s="5" t="b">
        <v>0</v>
      </c>
      <c r="AD26" s="5" t="b">
        <v>0</v>
      </c>
      <c r="AE26" s="5" t="b">
        <v>0</v>
      </c>
      <c r="AF26" s="5" t="b">
        <v>1</v>
      </c>
      <c r="AG26" s="5" t="b">
        <v>1</v>
      </c>
      <c r="AH26" s="5" t="b">
        <v>1</v>
      </c>
      <c r="AI26" s="5" t="b">
        <v>1</v>
      </c>
      <c r="AJ26" s="5" t="b">
        <v>1</v>
      </c>
      <c r="AK26" s="5" t="b">
        <v>1</v>
      </c>
      <c r="AL26" s="5" t="b">
        <v>1</v>
      </c>
      <c r="AM26" s="5" t="b">
        <v>1</v>
      </c>
      <c r="AN26" s="5" t="b">
        <v>1</v>
      </c>
      <c r="AO26" s="5" t="b">
        <v>1</v>
      </c>
      <c r="AP26" s="5" t="b">
        <v>1</v>
      </c>
      <c r="AQ26" s="5" t="b">
        <v>1</v>
      </c>
      <c r="AR26" s="5" t="b">
        <v>1</v>
      </c>
      <c r="AS26" s="5" t="b">
        <v>1</v>
      </c>
      <c r="AT26" s="5" t="b">
        <v>1</v>
      </c>
      <c r="AU26" s="5" t="b">
        <v>1</v>
      </c>
      <c r="AV26" s="5" t="b">
        <v>1</v>
      </c>
      <c r="AW26" s="5" t="b">
        <v>1</v>
      </c>
      <c r="AX26" s="5" t="b">
        <v>1</v>
      </c>
      <c r="AY26" s="5" t="b">
        <v>1</v>
      </c>
      <c r="AZ26" s="5" t="b">
        <v>1</v>
      </c>
      <c r="BA26" s="5" t="b">
        <v>1</v>
      </c>
      <c r="BB26" s="5" t="b">
        <v>1</v>
      </c>
      <c r="BC26" s="5" t="b">
        <v>1</v>
      </c>
      <c r="BD26" s="5" t="b">
        <v>1</v>
      </c>
      <c r="BE26" s="5" t="b">
        <v>1</v>
      </c>
      <c r="BF26" s="5" t="b">
        <v>1</v>
      </c>
      <c r="BG26" s="5" t="b">
        <v>1</v>
      </c>
      <c r="BH26" s="5" t="b">
        <v>1</v>
      </c>
      <c r="BI26" s="5" t="b">
        <v>1</v>
      </c>
      <c r="BJ26" s="5" t="b">
        <v>1</v>
      </c>
      <c r="BK26" s="5" t="b">
        <v>1</v>
      </c>
      <c r="BL26" s="5" t="b">
        <v>1</v>
      </c>
      <c r="BM26" s="5" t="b">
        <v>1</v>
      </c>
      <c r="BN26" s="5" t="b">
        <v>1</v>
      </c>
      <c r="BO26" s="5" t="b">
        <v>1</v>
      </c>
      <c r="BP26" s="5" t="b">
        <v>1</v>
      </c>
      <c r="BQ26" s="5" t="b">
        <v>1</v>
      </c>
      <c r="BR26" s="5" t="b">
        <v>1</v>
      </c>
      <c r="BS26" s="5" t="b">
        <v>1</v>
      </c>
      <c r="BT26" s="5" t="b">
        <v>1</v>
      </c>
      <c r="BU26" s="5" t="b">
        <v>1</v>
      </c>
      <c r="BV26" s="5" t="b">
        <v>1</v>
      </c>
      <c r="BW26" s="5" t="b">
        <v>1</v>
      </c>
      <c r="BX26" s="5" t="b">
        <v>1</v>
      </c>
      <c r="BY26" s="5" t="b">
        <v>1</v>
      </c>
      <c r="BZ26" s="5" t="b">
        <v>1</v>
      </c>
      <c r="CA26" s="5" t="b">
        <v>1</v>
      </c>
      <c r="CB26" s="5" t="b">
        <v>1</v>
      </c>
      <c r="CC26" s="5" t="b">
        <v>1</v>
      </c>
      <c r="CD26" s="5" t="b">
        <v>1</v>
      </c>
      <c r="CE26" s="5" t="b">
        <v>1</v>
      </c>
      <c r="CF26" s="5" t="b">
        <v>1</v>
      </c>
      <c r="CG26" s="5" t="b">
        <v>1</v>
      </c>
      <c r="CH26" s="5" t="b">
        <v>1</v>
      </c>
      <c r="CI26" s="5" t="b">
        <v>1</v>
      </c>
      <c r="CJ26" s="5" t="b">
        <v>0</v>
      </c>
      <c r="CK26" s="5" t="b">
        <v>1</v>
      </c>
      <c r="CL26" s="5" t="b">
        <v>1</v>
      </c>
      <c r="CM26" s="5" t="b">
        <v>1</v>
      </c>
      <c r="CN26" s="5" t="b">
        <v>0</v>
      </c>
      <c r="CO26" s="5" t="b">
        <v>0</v>
      </c>
      <c r="CP26" s="5" t="b">
        <v>0</v>
      </c>
      <c r="CQ26" s="5" t="b">
        <v>0</v>
      </c>
      <c r="CR26" s="5" t="b">
        <v>0</v>
      </c>
      <c r="CS26" s="5" t="b">
        <v>0</v>
      </c>
      <c r="CT26" s="5" t="b">
        <v>1</v>
      </c>
      <c r="CU26" s="5" t="b">
        <v>1</v>
      </c>
      <c r="CV26" s="5" t="b">
        <v>1</v>
      </c>
      <c r="CW26" s="5" t="b">
        <v>1</v>
      </c>
      <c r="CX26" s="5" t="b">
        <v>1</v>
      </c>
      <c r="CY26" s="5" t="b">
        <v>1</v>
      </c>
      <c r="CZ26" s="5" t="b">
        <v>1</v>
      </c>
      <c r="DA26" s="5" t="b">
        <v>1</v>
      </c>
      <c r="DB26" s="5" t="b">
        <v>1</v>
      </c>
      <c r="DC26" s="5" t="b">
        <v>1</v>
      </c>
      <c r="DD26" s="5" t="b">
        <v>1</v>
      </c>
      <c r="DE26" s="5" t="b">
        <v>1</v>
      </c>
      <c r="DF26" s="5" t="b">
        <v>1</v>
      </c>
      <c r="DG26" s="5" t="b">
        <v>1</v>
      </c>
      <c r="DH26" s="5" t="b">
        <v>1</v>
      </c>
      <c r="DI26" s="5" t="b">
        <v>1</v>
      </c>
      <c r="DJ26" s="5" t="b">
        <v>1</v>
      </c>
      <c r="DK26" s="5" t="b">
        <v>1</v>
      </c>
      <c r="DL26" s="5" t="b">
        <v>1</v>
      </c>
      <c r="DM26" s="5" t="b">
        <v>1</v>
      </c>
    </row>
    <row r="27" spans="1:117" s="5" customFormat="1">
      <c r="A27" s="5">
        <v>17</v>
      </c>
      <c r="B27" s="4" t="b" cm="1">
        <f t="array" ref="B27">IF(AND(C16:DM16=TRUE), TRUE, FALSE)</f>
        <v>0</v>
      </c>
      <c r="C27" s="5" t="b" cm="1">
        <f t="array" ref="C27:DM27">'Pull Db Dbeaver '!A17:DK17='Pull Data File'!A17:DK17</f>
        <v>1</v>
      </c>
      <c r="D27" s="5" t="b">
        <v>1</v>
      </c>
      <c r="E27" s="5" t="b">
        <v>1</v>
      </c>
      <c r="F27" s="5" t="b">
        <v>1</v>
      </c>
      <c r="G27" s="5" t="b">
        <v>1</v>
      </c>
      <c r="H27" s="5" t="b">
        <v>1</v>
      </c>
      <c r="I27" s="5" t="b">
        <v>1</v>
      </c>
      <c r="J27" s="5" t="b">
        <v>1</v>
      </c>
      <c r="K27" s="5" t="b">
        <v>1</v>
      </c>
      <c r="L27" s="5" t="b">
        <v>1</v>
      </c>
      <c r="M27" s="5" t="b">
        <v>1</v>
      </c>
      <c r="N27" s="5" t="b">
        <v>1</v>
      </c>
      <c r="O27" s="5" t="b">
        <v>1</v>
      </c>
      <c r="P27" s="5" t="b">
        <v>1</v>
      </c>
      <c r="Q27" s="5" t="b">
        <v>1</v>
      </c>
      <c r="R27" s="5" t="b">
        <v>1</v>
      </c>
      <c r="S27" s="5" t="b">
        <v>1</v>
      </c>
      <c r="T27" s="5" t="b">
        <v>1</v>
      </c>
      <c r="U27" s="5" t="b">
        <v>1</v>
      </c>
      <c r="V27" s="5" t="b">
        <v>1</v>
      </c>
      <c r="W27" s="5" t="b">
        <v>1</v>
      </c>
      <c r="X27" s="5" t="b">
        <v>1</v>
      </c>
      <c r="Y27" s="5" t="b">
        <v>1</v>
      </c>
      <c r="Z27" s="5" t="b">
        <v>1</v>
      </c>
      <c r="AA27" s="5" t="b">
        <v>1</v>
      </c>
      <c r="AB27" s="5" t="b">
        <v>1</v>
      </c>
      <c r="AC27" s="5" t="b">
        <v>0</v>
      </c>
      <c r="AD27" s="5" t="b">
        <v>0</v>
      </c>
      <c r="AE27" s="5" t="b">
        <v>0</v>
      </c>
      <c r="AF27" s="5" t="b">
        <v>1</v>
      </c>
      <c r="AG27" s="5" t="b">
        <v>1</v>
      </c>
      <c r="AH27" s="5" t="b">
        <v>1</v>
      </c>
      <c r="AI27" s="5" t="b">
        <v>1</v>
      </c>
      <c r="AJ27" s="5" t="b">
        <v>1</v>
      </c>
      <c r="AK27" s="5" t="b">
        <v>1</v>
      </c>
      <c r="AL27" s="5" t="b">
        <v>1</v>
      </c>
      <c r="AM27" s="5" t="b">
        <v>1</v>
      </c>
      <c r="AN27" s="5" t="b">
        <v>1</v>
      </c>
      <c r="AO27" s="5" t="b">
        <v>1</v>
      </c>
      <c r="AP27" s="5" t="b">
        <v>1</v>
      </c>
      <c r="AQ27" s="5" t="b">
        <v>1</v>
      </c>
      <c r="AR27" s="5" t="b">
        <v>1</v>
      </c>
      <c r="AS27" s="5" t="b">
        <v>1</v>
      </c>
      <c r="AT27" s="5" t="b">
        <v>1</v>
      </c>
      <c r="AU27" s="5" t="b">
        <v>1</v>
      </c>
      <c r="AV27" s="5" t="b">
        <v>1</v>
      </c>
      <c r="AW27" s="5" t="b">
        <v>1</v>
      </c>
      <c r="AX27" s="5" t="b">
        <v>1</v>
      </c>
      <c r="AY27" s="5" t="b">
        <v>1</v>
      </c>
      <c r="AZ27" s="5" t="b">
        <v>1</v>
      </c>
      <c r="BA27" s="5" t="b">
        <v>1</v>
      </c>
      <c r="BB27" s="5" t="b">
        <v>1</v>
      </c>
      <c r="BC27" s="5" t="b">
        <v>1</v>
      </c>
      <c r="BD27" s="5" t="b">
        <v>1</v>
      </c>
      <c r="BE27" s="5" t="b">
        <v>1</v>
      </c>
      <c r="BF27" s="5" t="b">
        <v>1</v>
      </c>
      <c r="BG27" s="5" t="b">
        <v>1</v>
      </c>
      <c r="BH27" s="5" t="b">
        <v>1</v>
      </c>
      <c r="BI27" s="5" t="b">
        <v>1</v>
      </c>
      <c r="BJ27" s="5" t="b">
        <v>1</v>
      </c>
      <c r="BK27" s="5" t="b">
        <v>1</v>
      </c>
      <c r="BL27" s="5" t="b">
        <v>1</v>
      </c>
      <c r="BM27" s="5" t="b">
        <v>1</v>
      </c>
      <c r="BN27" s="5" t="b">
        <v>1</v>
      </c>
      <c r="BO27" s="5" t="b">
        <v>1</v>
      </c>
      <c r="BP27" s="5" t="b">
        <v>1</v>
      </c>
      <c r="BQ27" s="5" t="b">
        <v>1</v>
      </c>
      <c r="BR27" s="5" t="b">
        <v>1</v>
      </c>
      <c r="BS27" s="5" t="b">
        <v>1</v>
      </c>
      <c r="BT27" s="5" t="b">
        <v>1</v>
      </c>
      <c r="BU27" s="5" t="b">
        <v>1</v>
      </c>
      <c r="BV27" s="5" t="b">
        <v>1</v>
      </c>
      <c r="BW27" s="5" t="b">
        <v>1</v>
      </c>
      <c r="BX27" s="5" t="b">
        <v>1</v>
      </c>
      <c r="BY27" s="5" t="b">
        <v>1</v>
      </c>
      <c r="BZ27" s="5" t="b">
        <v>1</v>
      </c>
      <c r="CA27" s="5" t="b">
        <v>1</v>
      </c>
      <c r="CB27" s="5" t="b">
        <v>1</v>
      </c>
      <c r="CC27" s="5" t="b">
        <v>1</v>
      </c>
      <c r="CD27" s="5" t="b">
        <v>1</v>
      </c>
      <c r="CE27" s="5" t="b">
        <v>1</v>
      </c>
      <c r="CF27" s="5" t="b">
        <v>1</v>
      </c>
      <c r="CG27" s="5" t="b">
        <v>1</v>
      </c>
      <c r="CH27" s="5" t="b">
        <v>1</v>
      </c>
      <c r="CI27" s="5" t="b">
        <v>1</v>
      </c>
      <c r="CJ27" s="5" t="b">
        <v>0</v>
      </c>
      <c r="CK27" s="5" t="b">
        <v>1</v>
      </c>
      <c r="CL27" s="5" t="b">
        <v>1</v>
      </c>
      <c r="CM27" s="5" t="b">
        <v>1</v>
      </c>
      <c r="CN27" s="5" t="b">
        <v>0</v>
      </c>
      <c r="CO27" s="5" t="b">
        <v>0</v>
      </c>
      <c r="CP27" s="5" t="b">
        <v>0</v>
      </c>
      <c r="CQ27" s="5" t="b">
        <v>0</v>
      </c>
      <c r="CR27" s="5" t="b">
        <v>0</v>
      </c>
      <c r="CS27" s="5" t="b">
        <v>0</v>
      </c>
      <c r="CT27" s="5" t="b">
        <v>1</v>
      </c>
      <c r="CU27" s="5" t="b">
        <v>1</v>
      </c>
      <c r="CV27" s="5" t="b">
        <v>1</v>
      </c>
      <c r="CW27" s="5" t="b">
        <v>1</v>
      </c>
      <c r="CX27" s="5" t="b">
        <v>1</v>
      </c>
      <c r="CY27" s="5" t="b">
        <v>1</v>
      </c>
      <c r="CZ27" s="5" t="b">
        <v>1</v>
      </c>
      <c r="DA27" s="5" t="b">
        <v>1</v>
      </c>
      <c r="DB27" s="5" t="b">
        <v>1</v>
      </c>
      <c r="DC27" s="5" t="b">
        <v>1</v>
      </c>
      <c r="DD27" s="5" t="b">
        <v>1</v>
      </c>
      <c r="DE27" s="5" t="b">
        <v>1</v>
      </c>
      <c r="DF27" s="5" t="b">
        <v>1</v>
      </c>
      <c r="DG27" s="5" t="b">
        <v>1</v>
      </c>
      <c r="DH27" s="5" t="b">
        <v>1</v>
      </c>
      <c r="DI27" s="5" t="b">
        <v>1</v>
      </c>
      <c r="DJ27" s="5" t="b">
        <v>1</v>
      </c>
      <c r="DK27" s="5" t="b">
        <v>1</v>
      </c>
      <c r="DL27" s="5" t="b">
        <v>1</v>
      </c>
      <c r="DM27" s="5" t="b">
        <v>1</v>
      </c>
    </row>
    <row r="28" spans="1:117" s="5" customFormat="1">
      <c r="A28" s="5">
        <v>18</v>
      </c>
      <c r="B28" s="4" t="b" cm="1">
        <f t="array" ref="B28">IF(AND(C17:DM17=TRUE), TRUE, FALSE)</f>
        <v>0</v>
      </c>
      <c r="C28" s="5" t="b" cm="1">
        <f t="array" ref="C28:DM28">'Pull Db Dbeaver '!A18:DK18='Pull Data File'!A18:DK18</f>
        <v>1</v>
      </c>
      <c r="D28" s="5" t="b">
        <v>1</v>
      </c>
      <c r="E28" s="5" t="b">
        <v>1</v>
      </c>
      <c r="F28" s="5" t="b">
        <v>1</v>
      </c>
      <c r="G28" s="5" t="b">
        <v>1</v>
      </c>
      <c r="H28" s="5" t="b">
        <v>1</v>
      </c>
      <c r="I28" s="5" t="b">
        <v>1</v>
      </c>
      <c r="J28" s="5" t="b">
        <v>1</v>
      </c>
      <c r="K28" s="5" t="b">
        <v>1</v>
      </c>
      <c r="L28" s="5" t="b">
        <v>1</v>
      </c>
      <c r="M28" s="5" t="b">
        <v>1</v>
      </c>
      <c r="N28" s="5" t="b">
        <v>1</v>
      </c>
      <c r="O28" s="5" t="b">
        <v>1</v>
      </c>
      <c r="P28" s="5" t="b">
        <v>1</v>
      </c>
      <c r="Q28" s="5" t="b">
        <v>1</v>
      </c>
      <c r="R28" s="5" t="b">
        <v>1</v>
      </c>
      <c r="S28" s="5" t="b">
        <v>1</v>
      </c>
      <c r="T28" s="5" t="b">
        <v>1</v>
      </c>
      <c r="U28" s="5" t="b">
        <v>1</v>
      </c>
      <c r="V28" s="5" t="b">
        <v>1</v>
      </c>
      <c r="W28" s="5" t="b">
        <v>1</v>
      </c>
      <c r="X28" s="5" t="b">
        <v>1</v>
      </c>
      <c r="Y28" s="5" t="b">
        <v>1</v>
      </c>
      <c r="Z28" s="5" t="b">
        <v>1</v>
      </c>
      <c r="AA28" s="5" t="b">
        <v>1</v>
      </c>
      <c r="AB28" s="5" t="b">
        <v>1</v>
      </c>
      <c r="AC28" s="5" t="b">
        <v>0</v>
      </c>
      <c r="AD28" s="5" t="b">
        <v>0</v>
      </c>
      <c r="AE28" s="5" t="b">
        <v>0</v>
      </c>
      <c r="AF28" s="5" t="b">
        <v>1</v>
      </c>
      <c r="AG28" s="5" t="b">
        <v>1</v>
      </c>
      <c r="AH28" s="5" t="b">
        <v>1</v>
      </c>
      <c r="AI28" s="5" t="b">
        <v>1</v>
      </c>
      <c r="AJ28" s="5" t="b">
        <v>1</v>
      </c>
      <c r="AK28" s="5" t="b">
        <v>1</v>
      </c>
      <c r="AL28" s="5" t="b">
        <v>1</v>
      </c>
      <c r="AM28" s="5" t="b">
        <v>1</v>
      </c>
      <c r="AN28" s="5" t="b">
        <v>1</v>
      </c>
      <c r="AO28" s="5" t="b">
        <v>1</v>
      </c>
      <c r="AP28" s="5" t="b">
        <v>1</v>
      </c>
      <c r="AQ28" s="5" t="b">
        <v>1</v>
      </c>
      <c r="AR28" s="5" t="b">
        <v>1</v>
      </c>
      <c r="AS28" s="5" t="b">
        <v>1</v>
      </c>
      <c r="AT28" s="5" t="b">
        <v>1</v>
      </c>
      <c r="AU28" s="5" t="b">
        <v>1</v>
      </c>
      <c r="AV28" s="5" t="b">
        <v>1</v>
      </c>
      <c r="AW28" s="5" t="b">
        <v>1</v>
      </c>
      <c r="AX28" s="5" t="b">
        <v>1</v>
      </c>
      <c r="AY28" s="5" t="b">
        <v>1</v>
      </c>
      <c r="AZ28" s="5" t="b">
        <v>1</v>
      </c>
      <c r="BA28" s="5" t="b">
        <v>1</v>
      </c>
      <c r="BB28" s="5" t="b">
        <v>1</v>
      </c>
      <c r="BC28" s="5" t="b">
        <v>1</v>
      </c>
      <c r="BD28" s="5" t="b">
        <v>1</v>
      </c>
      <c r="BE28" s="5" t="b">
        <v>1</v>
      </c>
      <c r="BF28" s="5" t="b">
        <v>1</v>
      </c>
      <c r="BG28" s="5" t="b">
        <v>1</v>
      </c>
      <c r="BH28" s="5" t="b">
        <v>1</v>
      </c>
      <c r="BI28" s="5" t="b">
        <v>1</v>
      </c>
      <c r="BJ28" s="5" t="b">
        <v>1</v>
      </c>
      <c r="BK28" s="5" t="b">
        <v>1</v>
      </c>
      <c r="BL28" s="5" t="b">
        <v>1</v>
      </c>
      <c r="BM28" s="5" t="b">
        <v>1</v>
      </c>
      <c r="BN28" s="5" t="b">
        <v>1</v>
      </c>
      <c r="BO28" s="5" t="b">
        <v>1</v>
      </c>
      <c r="BP28" s="5" t="b">
        <v>1</v>
      </c>
      <c r="BQ28" s="5" t="b">
        <v>1</v>
      </c>
      <c r="BR28" s="5" t="b">
        <v>1</v>
      </c>
      <c r="BS28" s="5" t="b">
        <v>1</v>
      </c>
      <c r="BT28" s="5" t="b">
        <v>1</v>
      </c>
      <c r="BU28" s="5" t="b">
        <v>1</v>
      </c>
      <c r="BV28" s="5" t="b">
        <v>1</v>
      </c>
      <c r="BW28" s="5" t="b">
        <v>1</v>
      </c>
      <c r="BX28" s="5" t="b">
        <v>1</v>
      </c>
      <c r="BY28" s="5" t="b">
        <v>1</v>
      </c>
      <c r="BZ28" s="5" t="b">
        <v>1</v>
      </c>
      <c r="CA28" s="5" t="b">
        <v>1</v>
      </c>
      <c r="CB28" s="5" t="b">
        <v>1</v>
      </c>
      <c r="CC28" s="5" t="b">
        <v>1</v>
      </c>
      <c r="CD28" s="5" t="b">
        <v>1</v>
      </c>
      <c r="CE28" s="5" t="b">
        <v>1</v>
      </c>
      <c r="CF28" s="5" t="b">
        <v>1</v>
      </c>
      <c r="CG28" s="5" t="b">
        <v>1</v>
      </c>
      <c r="CH28" s="5" t="b">
        <v>1</v>
      </c>
      <c r="CI28" s="5" t="b">
        <v>1</v>
      </c>
      <c r="CJ28" s="5" t="b">
        <v>0</v>
      </c>
      <c r="CK28" s="5" t="b">
        <v>1</v>
      </c>
      <c r="CL28" s="5" t="b">
        <v>1</v>
      </c>
      <c r="CM28" s="5" t="b">
        <v>1</v>
      </c>
      <c r="CN28" s="5" t="b">
        <v>0</v>
      </c>
      <c r="CO28" s="5" t="b">
        <v>0</v>
      </c>
      <c r="CP28" s="5" t="b">
        <v>0</v>
      </c>
      <c r="CQ28" s="5" t="b">
        <v>0</v>
      </c>
      <c r="CR28" s="5" t="b">
        <v>0</v>
      </c>
      <c r="CS28" s="5" t="b">
        <v>0</v>
      </c>
      <c r="CT28" s="5" t="b">
        <v>1</v>
      </c>
      <c r="CU28" s="5" t="b">
        <v>1</v>
      </c>
      <c r="CV28" s="5" t="b">
        <v>1</v>
      </c>
      <c r="CW28" s="5" t="b">
        <v>1</v>
      </c>
      <c r="CX28" s="5" t="b">
        <v>1</v>
      </c>
      <c r="CY28" s="5" t="b">
        <v>1</v>
      </c>
      <c r="CZ28" s="5" t="b">
        <v>1</v>
      </c>
      <c r="DA28" s="5" t="b">
        <v>1</v>
      </c>
      <c r="DB28" s="5" t="b">
        <v>1</v>
      </c>
      <c r="DC28" s="5" t="b">
        <v>1</v>
      </c>
      <c r="DD28" s="5" t="b">
        <v>1</v>
      </c>
      <c r="DE28" s="5" t="b">
        <v>1</v>
      </c>
      <c r="DF28" s="5" t="b">
        <v>1</v>
      </c>
      <c r="DG28" s="5" t="b">
        <v>1</v>
      </c>
      <c r="DH28" s="5" t="b">
        <v>1</v>
      </c>
      <c r="DI28" s="5" t="b">
        <v>1</v>
      </c>
      <c r="DJ28" s="5" t="b">
        <v>1</v>
      </c>
      <c r="DK28" s="5" t="b">
        <v>1</v>
      </c>
      <c r="DL28" s="5" t="b">
        <v>1</v>
      </c>
      <c r="DM28" s="5" t="b">
        <v>1</v>
      </c>
    </row>
    <row r="29" spans="1:117" s="5" customFormat="1">
      <c r="A29" s="5">
        <v>19</v>
      </c>
      <c r="B29" s="4" t="b" cm="1">
        <f t="array" ref="B29">IF(AND(C18:DM18=TRUE), TRUE, FALSE)</f>
        <v>0</v>
      </c>
      <c r="C29" s="5" t="b" cm="1">
        <f t="array" ref="C29:DM29">'Pull Db Dbeaver '!A19:DK19='Pull Data File'!A19:DK19</f>
        <v>1</v>
      </c>
      <c r="D29" s="5" t="b">
        <v>1</v>
      </c>
      <c r="E29" s="5" t="b">
        <v>1</v>
      </c>
      <c r="F29" s="5" t="b">
        <v>1</v>
      </c>
      <c r="G29" s="5" t="b">
        <v>1</v>
      </c>
      <c r="H29" s="5" t="b">
        <v>1</v>
      </c>
      <c r="I29" s="5" t="b">
        <v>1</v>
      </c>
      <c r="J29" s="5" t="b">
        <v>1</v>
      </c>
      <c r="K29" s="5" t="b">
        <v>1</v>
      </c>
      <c r="L29" s="5" t="b">
        <v>1</v>
      </c>
      <c r="M29" s="5" t="b">
        <v>1</v>
      </c>
      <c r="N29" s="5" t="b">
        <v>1</v>
      </c>
      <c r="O29" s="5" t="b">
        <v>1</v>
      </c>
      <c r="P29" s="5" t="b">
        <v>1</v>
      </c>
      <c r="Q29" s="5" t="b">
        <v>1</v>
      </c>
      <c r="R29" s="5" t="b">
        <v>1</v>
      </c>
      <c r="S29" s="5" t="b">
        <v>1</v>
      </c>
      <c r="T29" s="5" t="b">
        <v>1</v>
      </c>
      <c r="U29" s="5" t="b">
        <v>1</v>
      </c>
      <c r="V29" s="5" t="b">
        <v>1</v>
      </c>
      <c r="W29" s="5" t="b">
        <v>1</v>
      </c>
      <c r="X29" s="5" t="b">
        <v>1</v>
      </c>
      <c r="Y29" s="5" t="b">
        <v>1</v>
      </c>
      <c r="Z29" s="5" t="b">
        <v>1</v>
      </c>
      <c r="AA29" s="5" t="b">
        <v>1</v>
      </c>
      <c r="AB29" s="5" t="b">
        <v>1</v>
      </c>
      <c r="AC29" s="5" t="b">
        <v>0</v>
      </c>
      <c r="AD29" s="5" t="b">
        <v>0</v>
      </c>
      <c r="AE29" s="5" t="b">
        <v>0</v>
      </c>
      <c r="AF29" s="5" t="b">
        <v>1</v>
      </c>
      <c r="AG29" s="5" t="b">
        <v>1</v>
      </c>
      <c r="AH29" s="5" t="b">
        <v>1</v>
      </c>
      <c r="AI29" s="5" t="b">
        <v>1</v>
      </c>
      <c r="AJ29" s="5" t="b">
        <v>1</v>
      </c>
      <c r="AK29" s="5" t="b">
        <v>1</v>
      </c>
      <c r="AL29" s="5" t="b">
        <v>1</v>
      </c>
      <c r="AM29" s="5" t="b">
        <v>1</v>
      </c>
      <c r="AN29" s="5" t="b">
        <v>1</v>
      </c>
      <c r="AO29" s="5" t="b">
        <v>1</v>
      </c>
      <c r="AP29" s="5" t="b">
        <v>1</v>
      </c>
      <c r="AQ29" s="5" t="b">
        <v>1</v>
      </c>
      <c r="AR29" s="5" t="b">
        <v>1</v>
      </c>
      <c r="AS29" s="5" t="b">
        <v>1</v>
      </c>
      <c r="AT29" s="5" t="b">
        <v>1</v>
      </c>
      <c r="AU29" s="5" t="b">
        <v>1</v>
      </c>
      <c r="AV29" s="5" t="b">
        <v>1</v>
      </c>
      <c r="AW29" s="5" t="b">
        <v>1</v>
      </c>
      <c r="AX29" s="5" t="b">
        <v>1</v>
      </c>
      <c r="AY29" s="5" t="b">
        <v>1</v>
      </c>
      <c r="AZ29" s="5" t="b">
        <v>1</v>
      </c>
      <c r="BA29" s="5" t="b">
        <v>1</v>
      </c>
      <c r="BB29" s="5" t="b">
        <v>1</v>
      </c>
      <c r="BC29" s="5" t="b">
        <v>1</v>
      </c>
      <c r="BD29" s="5" t="b">
        <v>1</v>
      </c>
      <c r="BE29" s="5" t="b">
        <v>1</v>
      </c>
      <c r="BF29" s="5" t="b">
        <v>1</v>
      </c>
      <c r="BG29" s="5" t="b">
        <v>1</v>
      </c>
      <c r="BH29" s="5" t="b">
        <v>1</v>
      </c>
      <c r="BI29" s="5" t="b">
        <v>1</v>
      </c>
      <c r="BJ29" s="5" t="b">
        <v>1</v>
      </c>
      <c r="BK29" s="5" t="b">
        <v>1</v>
      </c>
      <c r="BL29" s="5" t="b">
        <v>1</v>
      </c>
      <c r="BM29" s="5" t="b">
        <v>1</v>
      </c>
      <c r="BN29" s="5" t="b">
        <v>1</v>
      </c>
      <c r="BO29" s="5" t="b">
        <v>1</v>
      </c>
      <c r="BP29" s="5" t="b">
        <v>1</v>
      </c>
      <c r="BQ29" s="5" t="b">
        <v>1</v>
      </c>
      <c r="BR29" s="5" t="b">
        <v>1</v>
      </c>
      <c r="BS29" s="5" t="b">
        <v>1</v>
      </c>
      <c r="BT29" s="5" t="b">
        <v>1</v>
      </c>
      <c r="BU29" s="5" t="b">
        <v>1</v>
      </c>
      <c r="BV29" s="5" t="b">
        <v>1</v>
      </c>
      <c r="BW29" s="5" t="b">
        <v>1</v>
      </c>
      <c r="BX29" s="5" t="b">
        <v>1</v>
      </c>
      <c r="BY29" s="5" t="b">
        <v>1</v>
      </c>
      <c r="BZ29" s="5" t="b">
        <v>1</v>
      </c>
      <c r="CA29" s="5" t="b">
        <v>1</v>
      </c>
      <c r="CB29" s="5" t="b">
        <v>1</v>
      </c>
      <c r="CC29" s="5" t="b">
        <v>1</v>
      </c>
      <c r="CD29" s="5" t="b">
        <v>1</v>
      </c>
      <c r="CE29" s="5" t="b">
        <v>1</v>
      </c>
      <c r="CF29" s="5" t="b">
        <v>1</v>
      </c>
      <c r="CG29" s="5" t="b">
        <v>1</v>
      </c>
      <c r="CH29" s="5" t="b">
        <v>1</v>
      </c>
      <c r="CI29" s="5" t="b">
        <v>1</v>
      </c>
      <c r="CJ29" s="5" t="b">
        <v>0</v>
      </c>
      <c r="CK29" s="5" t="b">
        <v>1</v>
      </c>
      <c r="CL29" s="5" t="b">
        <v>1</v>
      </c>
      <c r="CM29" s="5" t="b">
        <v>1</v>
      </c>
      <c r="CN29" s="5" t="b">
        <v>0</v>
      </c>
      <c r="CO29" s="5" t="b">
        <v>0</v>
      </c>
      <c r="CP29" s="5" t="b">
        <v>0</v>
      </c>
      <c r="CQ29" s="5" t="b">
        <v>0</v>
      </c>
      <c r="CR29" s="5" t="b">
        <v>0</v>
      </c>
      <c r="CS29" s="5" t="b">
        <v>0</v>
      </c>
      <c r="CT29" s="5" t="b">
        <v>1</v>
      </c>
      <c r="CU29" s="5" t="b">
        <v>1</v>
      </c>
      <c r="CV29" s="5" t="b">
        <v>1</v>
      </c>
      <c r="CW29" s="5" t="b">
        <v>1</v>
      </c>
      <c r="CX29" s="5" t="b">
        <v>1</v>
      </c>
      <c r="CY29" s="5" t="b">
        <v>1</v>
      </c>
      <c r="CZ29" s="5" t="b">
        <v>1</v>
      </c>
      <c r="DA29" s="5" t="b">
        <v>1</v>
      </c>
      <c r="DB29" s="5" t="b">
        <v>1</v>
      </c>
      <c r="DC29" s="5" t="b">
        <v>1</v>
      </c>
      <c r="DD29" s="5" t="b">
        <v>1</v>
      </c>
      <c r="DE29" s="5" t="b">
        <v>1</v>
      </c>
      <c r="DF29" s="5" t="b">
        <v>1</v>
      </c>
      <c r="DG29" s="5" t="b">
        <v>1</v>
      </c>
      <c r="DH29" s="5" t="b">
        <v>1</v>
      </c>
      <c r="DI29" s="5" t="b">
        <v>1</v>
      </c>
      <c r="DJ29" s="5" t="b">
        <v>1</v>
      </c>
      <c r="DK29" s="5" t="b">
        <v>1</v>
      </c>
      <c r="DL29" s="5" t="b">
        <v>1</v>
      </c>
      <c r="DM29" s="5" t="b">
        <v>1</v>
      </c>
    </row>
    <row r="30" spans="1:117" s="5" customFormat="1">
      <c r="A30" s="5">
        <v>20</v>
      </c>
      <c r="B30" s="4" t="b" cm="1">
        <f t="array" ref="B30">IF(AND(C19:DM19=TRUE), TRUE, FALSE)</f>
        <v>0</v>
      </c>
      <c r="C30" s="5" t="b" cm="1">
        <f t="array" ref="C30:DM30">'Pull Db Dbeaver '!A20:DK20='Pull Data File'!A20:DK20</f>
        <v>1</v>
      </c>
      <c r="D30" s="5" t="b">
        <v>1</v>
      </c>
      <c r="E30" s="5" t="b">
        <v>1</v>
      </c>
      <c r="F30" s="5" t="b">
        <v>1</v>
      </c>
      <c r="G30" s="5" t="b">
        <v>1</v>
      </c>
      <c r="H30" s="5" t="b">
        <v>1</v>
      </c>
      <c r="I30" s="5" t="b">
        <v>1</v>
      </c>
      <c r="J30" s="5" t="b">
        <v>1</v>
      </c>
      <c r="K30" s="5" t="b">
        <v>1</v>
      </c>
      <c r="L30" s="5" t="b">
        <v>1</v>
      </c>
      <c r="M30" s="5" t="b">
        <v>1</v>
      </c>
      <c r="N30" s="5" t="b">
        <v>1</v>
      </c>
      <c r="O30" s="5" t="b">
        <v>1</v>
      </c>
      <c r="P30" s="5" t="b">
        <v>1</v>
      </c>
      <c r="Q30" s="5" t="b">
        <v>1</v>
      </c>
      <c r="R30" s="5" t="b">
        <v>1</v>
      </c>
      <c r="S30" s="5" t="b">
        <v>1</v>
      </c>
      <c r="T30" s="5" t="b">
        <v>1</v>
      </c>
      <c r="U30" s="5" t="b">
        <v>1</v>
      </c>
      <c r="V30" s="5" t="b">
        <v>1</v>
      </c>
      <c r="W30" s="5" t="b">
        <v>1</v>
      </c>
      <c r="X30" s="5" t="b">
        <v>1</v>
      </c>
      <c r="Y30" s="5" t="b">
        <v>1</v>
      </c>
      <c r="Z30" s="5" t="b">
        <v>1</v>
      </c>
      <c r="AA30" s="5" t="b">
        <v>1</v>
      </c>
      <c r="AB30" s="5" t="b">
        <v>1</v>
      </c>
      <c r="AC30" s="5" t="b">
        <v>0</v>
      </c>
      <c r="AD30" s="5" t="b">
        <v>0</v>
      </c>
      <c r="AE30" s="5" t="b">
        <v>0</v>
      </c>
      <c r="AF30" s="5" t="b">
        <v>1</v>
      </c>
      <c r="AG30" s="5" t="b">
        <v>1</v>
      </c>
      <c r="AH30" s="5" t="b">
        <v>1</v>
      </c>
      <c r="AI30" s="5" t="b">
        <v>1</v>
      </c>
      <c r="AJ30" s="5" t="b">
        <v>1</v>
      </c>
      <c r="AK30" s="5" t="b">
        <v>1</v>
      </c>
      <c r="AL30" s="5" t="b">
        <v>1</v>
      </c>
      <c r="AM30" s="5" t="b">
        <v>1</v>
      </c>
      <c r="AN30" s="5" t="b">
        <v>1</v>
      </c>
      <c r="AO30" s="5" t="b">
        <v>1</v>
      </c>
      <c r="AP30" s="5" t="b">
        <v>1</v>
      </c>
      <c r="AQ30" s="5" t="b">
        <v>1</v>
      </c>
      <c r="AR30" s="5" t="b">
        <v>1</v>
      </c>
      <c r="AS30" s="5" t="b">
        <v>1</v>
      </c>
      <c r="AT30" s="5" t="b">
        <v>1</v>
      </c>
      <c r="AU30" s="5" t="b">
        <v>1</v>
      </c>
      <c r="AV30" s="5" t="b">
        <v>1</v>
      </c>
      <c r="AW30" s="5" t="b">
        <v>1</v>
      </c>
      <c r="AX30" s="5" t="b">
        <v>1</v>
      </c>
      <c r="AY30" s="5" t="b">
        <v>1</v>
      </c>
      <c r="AZ30" s="5" t="b">
        <v>1</v>
      </c>
      <c r="BA30" s="5" t="b">
        <v>1</v>
      </c>
      <c r="BB30" s="5" t="b">
        <v>1</v>
      </c>
      <c r="BC30" s="5" t="b">
        <v>1</v>
      </c>
      <c r="BD30" s="5" t="b">
        <v>1</v>
      </c>
      <c r="BE30" s="5" t="b">
        <v>1</v>
      </c>
      <c r="BF30" s="5" t="b">
        <v>1</v>
      </c>
      <c r="BG30" s="5" t="b">
        <v>1</v>
      </c>
      <c r="BH30" s="5" t="b">
        <v>1</v>
      </c>
      <c r="BI30" s="5" t="b">
        <v>1</v>
      </c>
      <c r="BJ30" s="5" t="b">
        <v>1</v>
      </c>
      <c r="BK30" s="5" t="b">
        <v>1</v>
      </c>
      <c r="BL30" s="5" t="b">
        <v>1</v>
      </c>
      <c r="BM30" s="5" t="b">
        <v>1</v>
      </c>
      <c r="BN30" s="5" t="b">
        <v>1</v>
      </c>
      <c r="BO30" s="5" t="b">
        <v>1</v>
      </c>
      <c r="BP30" s="5" t="b">
        <v>1</v>
      </c>
      <c r="BQ30" s="5" t="b">
        <v>1</v>
      </c>
      <c r="BR30" s="5" t="b">
        <v>1</v>
      </c>
      <c r="BS30" s="5" t="b">
        <v>1</v>
      </c>
      <c r="BT30" s="5" t="b">
        <v>1</v>
      </c>
      <c r="BU30" s="5" t="b">
        <v>1</v>
      </c>
      <c r="BV30" s="5" t="b">
        <v>1</v>
      </c>
      <c r="BW30" s="5" t="b">
        <v>1</v>
      </c>
      <c r="BX30" s="5" t="b">
        <v>1</v>
      </c>
      <c r="BY30" s="5" t="b">
        <v>1</v>
      </c>
      <c r="BZ30" s="5" t="b">
        <v>1</v>
      </c>
      <c r="CA30" s="5" t="b">
        <v>1</v>
      </c>
      <c r="CB30" s="5" t="b">
        <v>1</v>
      </c>
      <c r="CC30" s="5" t="b">
        <v>1</v>
      </c>
      <c r="CD30" s="5" t="b">
        <v>1</v>
      </c>
      <c r="CE30" s="5" t="b">
        <v>1</v>
      </c>
      <c r="CF30" s="5" t="b">
        <v>1</v>
      </c>
      <c r="CG30" s="5" t="b">
        <v>1</v>
      </c>
      <c r="CH30" s="5" t="b">
        <v>1</v>
      </c>
      <c r="CI30" s="5" t="b">
        <v>1</v>
      </c>
      <c r="CJ30" s="5" t="b">
        <v>0</v>
      </c>
      <c r="CK30" s="5" t="b">
        <v>1</v>
      </c>
      <c r="CL30" s="5" t="b">
        <v>1</v>
      </c>
      <c r="CM30" s="5" t="b">
        <v>1</v>
      </c>
      <c r="CN30" s="5" t="b">
        <v>0</v>
      </c>
      <c r="CO30" s="5" t="b">
        <v>0</v>
      </c>
      <c r="CP30" s="5" t="b">
        <v>0</v>
      </c>
      <c r="CQ30" s="5" t="b">
        <v>0</v>
      </c>
      <c r="CR30" s="5" t="b">
        <v>0</v>
      </c>
      <c r="CS30" s="5" t="b">
        <v>0</v>
      </c>
      <c r="CT30" s="5" t="b">
        <v>1</v>
      </c>
      <c r="CU30" s="5" t="b">
        <v>1</v>
      </c>
      <c r="CV30" s="5" t="b">
        <v>1</v>
      </c>
      <c r="CW30" s="5" t="b">
        <v>1</v>
      </c>
      <c r="CX30" s="5" t="b">
        <v>1</v>
      </c>
      <c r="CY30" s="5" t="b">
        <v>1</v>
      </c>
      <c r="CZ30" s="5" t="b">
        <v>1</v>
      </c>
      <c r="DA30" s="5" t="b">
        <v>1</v>
      </c>
      <c r="DB30" s="5" t="b">
        <v>1</v>
      </c>
      <c r="DC30" s="5" t="b">
        <v>1</v>
      </c>
      <c r="DD30" s="5" t="b">
        <v>1</v>
      </c>
      <c r="DE30" s="5" t="b">
        <v>1</v>
      </c>
      <c r="DF30" s="5" t="b">
        <v>1</v>
      </c>
      <c r="DG30" s="5" t="b">
        <v>1</v>
      </c>
      <c r="DH30" s="5" t="b">
        <v>1</v>
      </c>
      <c r="DI30" s="5" t="b">
        <v>1</v>
      </c>
      <c r="DJ30" s="5" t="b">
        <v>1</v>
      </c>
      <c r="DK30" s="5" t="b">
        <v>1</v>
      </c>
      <c r="DL30" s="5" t="b">
        <v>1</v>
      </c>
      <c r="DM30" s="5" t="b">
        <v>1</v>
      </c>
    </row>
    <row r="31" spans="1:117" s="5" customFormat="1">
      <c r="A31" s="5">
        <v>21</v>
      </c>
      <c r="B31" s="4" t="b" cm="1">
        <f t="array" ref="B31">IF(AND(C20:DM20=TRUE), TRUE, FALSE)</f>
        <v>0</v>
      </c>
      <c r="C31" s="5" t="b" cm="1">
        <f t="array" ref="C31:DM31">'Pull Db Dbeaver '!A21:DK21='Pull Data File'!A21:DK21</f>
        <v>1</v>
      </c>
      <c r="D31" s="5" t="b">
        <v>1</v>
      </c>
      <c r="E31" s="5" t="b">
        <v>1</v>
      </c>
      <c r="F31" s="5" t="b">
        <v>1</v>
      </c>
      <c r="G31" s="5" t="b">
        <v>1</v>
      </c>
      <c r="H31" s="5" t="b">
        <v>1</v>
      </c>
      <c r="I31" s="5" t="b">
        <v>1</v>
      </c>
      <c r="J31" s="5" t="b">
        <v>1</v>
      </c>
      <c r="K31" s="5" t="b">
        <v>1</v>
      </c>
      <c r="L31" s="5" t="b">
        <v>1</v>
      </c>
      <c r="M31" s="5" t="b">
        <v>1</v>
      </c>
      <c r="N31" s="5" t="b">
        <v>1</v>
      </c>
      <c r="O31" s="5" t="b">
        <v>1</v>
      </c>
      <c r="P31" s="5" t="b">
        <v>1</v>
      </c>
      <c r="Q31" s="5" t="b">
        <v>1</v>
      </c>
      <c r="R31" s="5" t="b">
        <v>1</v>
      </c>
      <c r="S31" s="5" t="b">
        <v>1</v>
      </c>
      <c r="T31" s="5" t="b">
        <v>1</v>
      </c>
      <c r="U31" s="5" t="b">
        <v>1</v>
      </c>
      <c r="V31" s="5" t="b">
        <v>1</v>
      </c>
      <c r="W31" s="5" t="b">
        <v>1</v>
      </c>
      <c r="X31" s="5" t="b">
        <v>1</v>
      </c>
      <c r="Y31" s="5" t="b">
        <v>1</v>
      </c>
      <c r="Z31" s="5" t="b">
        <v>1</v>
      </c>
      <c r="AA31" s="5" t="b">
        <v>1</v>
      </c>
      <c r="AB31" s="5" t="b">
        <v>1</v>
      </c>
      <c r="AC31" s="5" t="b">
        <v>0</v>
      </c>
      <c r="AD31" s="5" t="b">
        <v>0</v>
      </c>
      <c r="AE31" s="5" t="b">
        <v>0</v>
      </c>
      <c r="AF31" s="5" t="b">
        <v>1</v>
      </c>
      <c r="AG31" s="5" t="b">
        <v>1</v>
      </c>
      <c r="AH31" s="5" t="b">
        <v>1</v>
      </c>
      <c r="AI31" s="5" t="b">
        <v>1</v>
      </c>
      <c r="AJ31" s="5" t="b">
        <v>1</v>
      </c>
      <c r="AK31" s="5" t="b">
        <v>1</v>
      </c>
      <c r="AL31" s="5" t="b">
        <v>1</v>
      </c>
      <c r="AM31" s="5" t="b">
        <v>1</v>
      </c>
      <c r="AN31" s="5" t="b">
        <v>1</v>
      </c>
      <c r="AO31" s="5" t="b">
        <v>1</v>
      </c>
      <c r="AP31" s="5" t="b">
        <v>1</v>
      </c>
      <c r="AQ31" s="5" t="b">
        <v>1</v>
      </c>
      <c r="AR31" s="5" t="b">
        <v>1</v>
      </c>
      <c r="AS31" s="5" t="b">
        <v>1</v>
      </c>
      <c r="AT31" s="5" t="b">
        <v>1</v>
      </c>
      <c r="AU31" s="5" t="b">
        <v>1</v>
      </c>
      <c r="AV31" s="5" t="b">
        <v>1</v>
      </c>
      <c r="AW31" s="5" t="b">
        <v>1</v>
      </c>
      <c r="AX31" s="5" t="b">
        <v>1</v>
      </c>
      <c r="AY31" s="5" t="b">
        <v>1</v>
      </c>
      <c r="AZ31" s="5" t="b">
        <v>1</v>
      </c>
      <c r="BA31" s="5" t="b">
        <v>1</v>
      </c>
      <c r="BB31" s="5" t="b">
        <v>1</v>
      </c>
      <c r="BC31" s="5" t="b">
        <v>1</v>
      </c>
      <c r="BD31" s="5" t="b">
        <v>1</v>
      </c>
      <c r="BE31" s="5" t="b">
        <v>1</v>
      </c>
      <c r="BF31" s="5" t="b">
        <v>1</v>
      </c>
      <c r="BG31" s="5" t="b">
        <v>1</v>
      </c>
      <c r="BH31" s="5" t="b">
        <v>1</v>
      </c>
      <c r="BI31" s="5" t="b">
        <v>1</v>
      </c>
      <c r="BJ31" s="5" t="b">
        <v>1</v>
      </c>
      <c r="BK31" s="5" t="b">
        <v>1</v>
      </c>
      <c r="BL31" s="5" t="b">
        <v>1</v>
      </c>
      <c r="BM31" s="5" t="b">
        <v>1</v>
      </c>
      <c r="BN31" s="5" t="b">
        <v>1</v>
      </c>
      <c r="BO31" s="5" t="b">
        <v>1</v>
      </c>
      <c r="BP31" s="5" t="b">
        <v>1</v>
      </c>
      <c r="BQ31" s="5" t="b">
        <v>1</v>
      </c>
      <c r="BR31" s="5" t="b">
        <v>1</v>
      </c>
      <c r="BS31" s="5" t="b">
        <v>1</v>
      </c>
      <c r="BT31" s="5" t="b">
        <v>1</v>
      </c>
      <c r="BU31" s="5" t="b">
        <v>1</v>
      </c>
      <c r="BV31" s="5" t="b">
        <v>1</v>
      </c>
      <c r="BW31" s="5" t="b">
        <v>1</v>
      </c>
      <c r="BX31" s="5" t="b">
        <v>1</v>
      </c>
      <c r="BY31" s="5" t="b">
        <v>1</v>
      </c>
      <c r="BZ31" s="5" t="b">
        <v>1</v>
      </c>
      <c r="CA31" s="5" t="b">
        <v>1</v>
      </c>
      <c r="CB31" s="5" t="b">
        <v>1</v>
      </c>
      <c r="CC31" s="5" t="b">
        <v>1</v>
      </c>
      <c r="CD31" s="5" t="b">
        <v>1</v>
      </c>
      <c r="CE31" s="5" t="b">
        <v>1</v>
      </c>
      <c r="CF31" s="5" t="b">
        <v>1</v>
      </c>
      <c r="CG31" s="5" t="b">
        <v>1</v>
      </c>
      <c r="CH31" s="5" t="b">
        <v>1</v>
      </c>
      <c r="CI31" s="5" t="b">
        <v>1</v>
      </c>
      <c r="CJ31" s="5" t="b">
        <v>0</v>
      </c>
      <c r="CK31" s="5" t="b">
        <v>1</v>
      </c>
      <c r="CL31" s="5" t="b">
        <v>1</v>
      </c>
      <c r="CM31" s="5" t="b">
        <v>1</v>
      </c>
      <c r="CN31" s="5" t="b">
        <v>0</v>
      </c>
      <c r="CO31" s="5" t="b">
        <v>0</v>
      </c>
      <c r="CP31" s="5" t="b">
        <v>0</v>
      </c>
      <c r="CQ31" s="5" t="b">
        <v>0</v>
      </c>
      <c r="CR31" s="5" t="b">
        <v>0</v>
      </c>
      <c r="CS31" s="5" t="b">
        <v>0</v>
      </c>
      <c r="CT31" s="5" t="b">
        <v>1</v>
      </c>
      <c r="CU31" s="5" t="b">
        <v>1</v>
      </c>
      <c r="CV31" s="5" t="b">
        <v>1</v>
      </c>
      <c r="CW31" s="5" t="b">
        <v>1</v>
      </c>
      <c r="CX31" s="5" t="b">
        <v>1</v>
      </c>
      <c r="CY31" s="5" t="b">
        <v>1</v>
      </c>
      <c r="CZ31" s="5" t="b">
        <v>1</v>
      </c>
      <c r="DA31" s="5" t="b">
        <v>1</v>
      </c>
      <c r="DB31" s="5" t="b">
        <v>1</v>
      </c>
      <c r="DC31" s="5" t="b">
        <v>1</v>
      </c>
      <c r="DD31" s="5" t="b">
        <v>1</v>
      </c>
      <c r="DE31" s="5" t="b">
        <v>1</v>
      </c>
      <c r="DF31" s="5" t="b">
        <v>1</v>
      </c>
      <c r="DG31" s="5" t="b">
        <v>1</v>
      </c>
      <c r="DH31" s="5" t="b">
        <v>1</v>
      </c>
      <c r="DI31" s="5" t="b">
        <v>1</v>
      </c>
      <c r="DJ31" s="5" t="b">
        <v>1</v>
      </c>
      <c r="DK31" s="5" t="b">
        <v>1</v>
      </c>
      <c r="DL31" s="5" t="b">
        <v>1</v>
      </c>
      <c r="DM31" s="5" t="b">
        <v>1</v>
      </c>
    </row>
    <row r="32" spans="1:117" s="5" customFormat="1">
      <c r="A32" s="5">
        <v>22</v>
      </c>
      <c r="B32" s="4" t="b" cm="1">
        <f t="array" ref="B32">IF(AND(C21:DM21=TRUE), TRUE, FALSE)</f>
        <v>0</v>
      </c>
      <c r="C32" s="5" t="b" cm="1">
        <f t="array" ref="C32:DM32">'Pull Db Dbeaver '!A22:DK22='Pull Data File'!A22:DK22</f>
        <v>1</v>
      </c>
      <c r="D32" s="5" t="b">
        <v>1</v>
      </c>
      <c r="E32" s="5" t="b">
        <v>1</v>
      </c>
      <c r="F32" s="5" t="b">
        <v>1</v>
      </c>
      <c r="G32" s="5" t="b">
        <v>1</v>
      </c>
      <c r="H32" s="5" t="b">
        <v>1</v>
      </c>
      <c r="I32" s="5" t="b">
        <v>1</v>
      </c>
      <c r="J32" s="5" t="b">
        <v>1</v>
      </c>
      <c r="K32" s="5" t="b">
        <v>1</v>
      </c>
      <c r="L32" s="5" t="b">
        <v>1</v>
      </c>
      <c r="M32" s="5" t="b">
        <v>1</v>
      </c>
      <c r="N32" s="5" t="b">
        <v>1</v>
      </c>
      <c r="O32" s="5" t="b">
        <v>1</v>
      </c>
      <c r="P32" s="5" t="b">
        <v>1</v>
      </c>
      <c r="Q32" s="5" t="b">
        <v>1</v>
      </c>
      <c r="R32" s="5" t="b">
        <v>1</v>
      </c>
      <c r="S32" s="5" t="b">
        <v>1</v>
      </c>
      <c r="T32" s="5" t="b">
        <v>1</v>
      </c>
      <c r="U32" s="5" t="b">
        <v>1</v>
      </c>
      <c r="V32" s="5" t="b">
        <v>1</v>
      </c>
      <c r="W32" s="5" t="b">
        <v>1</v>
      </c>
      <c r="X32" s="5" t="b">
        <v>1</v>
      </c>
      <c r="Y32" s="5" t="b">
        <v>1</v>
      </c>
      <c r="Z32" s="5" t="b">
        <v>1</v>
      </c>
      <c r="AA32" s="5" t="b">
        <v>1</v>
      </c>
      <c r="AB32" s="5" t="b">
        <v>1</v>
      </c>
      <c r="AC32" s="5" t="b">
        <v>0</v>
      </c>
      <c r="AD32" s="5" t="b">
        <v>0</v>
      </c>
      <c r="AE32" s="5" t="b">
        <v>0</v>
      </c>
      <c r="AF32" s="5" t="b">
        <v>1</v>
      </c>
      <c r="AG32" s="5" t="b">
        <v>1</v>
      </c>
      <c r="AH32" s="5" t="b">
        <v>1</v>
      </c>
      <c r="AI32" s="5" t="b">
        <v>1</v>
      </c>
      <c r="AJ32" s="5" t="b">
        <v>1</v>
      </c>
      <c r="AK32" s="5" t="b">
        <v>1</v>
      </c>
      <c r="AL32" s="5" t="b">
        <v>1</v>
      </c>
      <c r="AM32" s="5" t="b">
        <v>1</v>
      </c>
      <c r="AN32" s="5" t="b">
        <v>1</v>
      </c>
      <c r="AO32" s="5" t="b">
        <v>1</v>
      </c>
      <c r="AP32" s="5" t="b">
        <v>1</v>
      </c>
      <c r="AQ32" s="5" t="b">
        <v>1</v>
      </c>
      <c r="AR32" s="5" t="b">
        <v>1</v>
      </c>
      <c r="AS32" s="5" t="b">
        <v>1</v>
      </c>
      <c r="AT32" s="5" t="b">
        <v>1</v>
      </c>
      <c r="AU32" s="5" t="b">
        <v>1</v>
      </c>
      <c r="AV32" s="5" t="b">
        <v>1</v>
      </c>
      <c r="AW32" s="5" t="b">
        <v>1</v>
      </c>
      <c r="AX32" s="5" t="b">
        <v>1</v>
      </c>
      <c r="AY32" s="5" t="b">
        <v>1</v>
      </c>
      <c r="AZ32" s="5" t="b">
        <v>1</v>
      </c>
      <c r="BA32" s="5" t="b">
        <v>1</v>
      </c>
      <c r="BB32" s="5" t="b">
        <v>1</v>
      </c>
      <c r="BC32" s="5" t="b">
        <v>1</v>
      </c>
      <c r="BD32" s="5" t="b">
        <v>1</v>
      </c>
      <c r="BE32" s="5" t="b">
        <v>1</v>
      </c>
      <c r="BF32" s="5" t="b">
        <v>1</v>
      </c>
      <c r="BG32" s="5" t="b">
        <v>1</v>
      </c>
      <c r="BH32" s="5" t="b">
        <v>1</v>
      </c>
      <c r="BI32" s="5" t="b">
        <v>1</v>
      </c>
      <c r="BJ32" s="5" t="b">
        <v>1</v>
      </c>
      <c r="BK32" s="5" t="b">
        <v>1</v>
      </c>
      <c r="BL32" s="5" t="b">
        <v>1</v>
      </c>
      <c r="BM32" s="5" t="b">
        <v>1</v>
      </c>
      <c r="BN32" s="5" t="b">
        <v>1</v>
      </c>
      <c r="BO32" s="5" t="b">
        <v>1</v>
      </c>
      <c r="BP32" s="5" t="b">
        <v>1</v>
      </c>
      <c r="BQ32" s="5" t="b">
        <v>1</v>
      </c>
      <c r="BR32" s="5" t="b">
        <v>1</v>
      </c>
      <c r="BS32" s="5" t="b">
        <v>1</v>
      </c>
      <c r="BT32" s="5" t="b">
        <v>1</v>
      </c>
      <c r="BU32" s="5" t="b">
        <v>1</v>
      </c>
      <c r="BV32" s="5" t="b">
        <v>1</v>
      </c>
      <c r="BW32" s="5" t="b">
        <v>1</v>
      </c>
      <c r="BX32" s="5" t="b">
        <v>1</v>
      </c>
      <c r="BY32" s="5" t="b">
        <v>1</v>
      </c>
      <c r="BZ32" s="5" t="b">
        <v>1</v>
      </c>
      <c r="CA32" s="5" t="b">
        <v>1</v>
      </c>
      <c r="CB32" s="5" t="b">
        <v>1</v>
      </c>
      <c r="CC32" s="5" t="b">
        <v>1</v>
      </c>
      <c r="CD32" s="5" t="b">
        <v>1</v>
      </c>
      <c r="CE32" s="5" t="b">
        <v>1</v>
      </c>
      <c r="CF32" s="5" t="b">
        <v>1</v>
      </c>
      <c r="CG32" s="5" t="b">
        <v>1</v>
      </c>
      <c r="CH32" s="5" t="b">
        <v>1</v>
      </c>
      <c r="CI32" s="5" t="b">
        <v>1</v>
      </c>
      <c r="CJ32" s="5" t="b">
        <v>0</v>
      </c>
      <c r="CK32" s="5" t="b">
        <v>1</v>
      </c>
      <c r="CL32" s="5" t="b">
        <v>1</v>
      </c>
      <c r="CM32" s="5" t="b">
        <v>1</v>
      </c>
      <c r="CN32" s="5" t="b">
        <v>0</v>
      </c>
      <c r="CO32" s="5" t="b">
        <v>0</v>
      </c>
      <c r="CP32" s="5" t="b">
        <v>0</v>
      </c>
      <c r="CQ32" s="5" t="b">
        <v>0</v>
      </c>
      <c r="CR32" s="5" t="b">
        <v>0</v>
      </c>
      <c r="CS32" s="5" t="b">
        <v>0</v>
      </c>
      <c r="CT32" s="5" t="b">
        <v>1</v>
      </c>
      <c r="CU32" s="5" t="b">
        <v>1</v>
      </c>
      <c r="CV32" s="5" t="b">
        <v>1</v>
      </c>
      <c r="CW32" s="5" t="b">
        <v>1</v>
      </c>
      <c r="CX32" s="5" t="b">
        <v>1</v>
      </c>
      <c r="CY32" s="5" t="b">
        <v>1</v>
      </c>
      <c r="CZ32" s="5" t="b">
        <v>1</v>
      </c>
      <c r="DA32" s="5" t="b">
        <v>1</v>
      </c>
      <c r="DB32" s="5" t="b">
        <v>1</v>
      </c>
      <c r="DC32" s="5" t="b">
        <v>1</v>
      </c>
      <c r="DD32" s="5" t="b">
        <v>1</v>
      </c>
      <c r="DE32" s="5" t="b">
        <v>1</v>
      </c>
      <c r="DF32" s="5" t="b">
        <v>1</v>
      </c>
      <c r="DG32" s="5" t="b">
        <v>1</v>
      </c>
      <c r="DH32" s="5" t="b">
        <v>1</v>
      </c>
      <c r="DI32" s="5" t="b">
        <v>1</v>
      </c>
      <c r="DJ32" s="5" t="b">
        <v>1</v>
      </c>
      <c r="DK32" s="5" t="b">
        <v>1</v>
      </c>
      <c r="DL32" s="5" t="b">
        <v>1</v>
      </c>
      <c r="DM32" s="5" t="b">
        <v>1</v>
      </c>
    </row>
    <row r="33" spans="1:117" s="5" customFormat="1">
      <c r="A33" s="5">
        <v>23</v>
      </c>
      <c r="B33" s="4" t="b" cm="1">
        <f t="array" ref="B33">IF(AND(C22:DM22=TRUE), TRUE, FALSE)</f>
        <v>0</v>
      </c>
      <c r="C33" s="5" t="b" cm="1">
        <f t="array" ref="C33:DM33">'Pull Db Dbeaver '!A23:DK23='Pull Data File'!A23:DK23</f>
        <v>1</v>
      </c>
      <c r="D33" s="5" t="b">
        <v>1</v>
      </c>
      <c r="E33" s="5" t="b">
        <v>1</v>
      </c>
      <c r="F33" s="5" t="b">
        <v>1</v>
      </c>
      <c r="G33" s="5" t="b">
        <v>1</v>
      </c>
      <c r="H33" s="5" t="b">
        <v>1</v>
      </c>
      <c r="I33" s="5" t="b">
        <v>1</v>
      </c>
      <c r="J33" s="5" t="b">
        <v>1</v>
      </c>
      <c r="K33" s="5" t="b">
        <v>1</v>
      </c>
      <c r="L33" s="5" t="b">
        <v>1</v>
      </c>
      <c r="M33" s="5" t="b">
        <v>1</v>
      </c>
      <c r="N33" s="5" t="b">
        <v>1</v>
      </c>
      <c r="O33" s="5" t="b">
        <v>1</v>
      </c>
      <c r="P33" s="5" t="b">
        <v>1</v>
      </c>
      <c r="Q33" s="5" t="b">
        <v>1</v>
      </c>
      <c r="R33" s="5" t="b">
        <v>1</v>
      </c>
      <c r="S33" s="5" t="b">
        <v>1</v>
      </c>
      <c r="T33" s="5" t="b">
        <v>1</v>
      </c>
      <c r="U33" s="5" t="b">
        <v>1</v>
      </c>
      <c r="V33" s="5" t="b">
        <v>1</v>
      </c>
      <c r="W33" s="5" t="b">
        <v>1</v>
      </c>
      <c r="X33" s="5" t="b">
        <v>1</v>
      </c>
      <c r="Y33" s="5" t="b">
        <v>1</v>
      </c>
      <c r="Z33" s="5" t="b">
        <v>1</v>
      </c>
      <c r="AA33" s="5" t="b">
        <v>1</v>
      </c>
      <c r="AB33" s="5" t="b">
        <v>1</v>
      </c>
      <c r="AC33" s="5" t="b">
        <v>0</v>
      </c>
      <c r="AD33" s="5" t="b">
        <v>0</v>
      </c>
      <c r="AE33" s="5" t="b">
        <v>0</v>
      </c>
      <c r="AF33" s="5" t="b">
        <v>1</v>
      </c>
      <c r="AG33" s="5" t="b">
        <v>1</v>
      </c>
      <c r="AH33" s="5" t="b">
        <v>1</v>
      </c>
      <c r="AI33" s="5" t="b">
        <v>1</v>
      </c>
      <c r="AJ33" s="5" t="b">
        <v>1</v>
      </c>
      <c r="AK33" s="5" t="b">
        <v>1</v>
      </c>
      <c r="AL33" s="5" t="b">
        <v>1</v>
      </c>
      <c r="AM33" s="5" t="b">
        <v>1</v>
      </c>
      <c r="AN33" s="5" t="b">
        <v>1</v>
      </c>
      <c r="AO33" s="5" t="b">
        <v>1</v>
      </c>
      <c r="AP33" s="5" t="b">
        <v>1</v>
      </c>
      <c r="AQ33" s="5" t="b">
        <v>1</v>
      </c>
      <c r="AR33" s="5" t="b">
        <v>1</v>
      </c>
      <c r="AS33" s="5" t="b">
        <v>1</v>
      </c>
      <c r="AT33" s="5" t="b">
        <v>1</v>
      </c>
      <c r="AU33" s="5" t="b">
        <v>1</v>
      </c>
      <c r="AV33" s="5" t="b">
        <v>1</v>
      </c>
      <c r="AW33" s="5" t="b">
        <v>1</v>
      </c>
      <c r="AX33" s="5" t="b">
        <v>1</v>
      </c>
      <c r="AY33" s="5" t="b">
        <v>1</v>
      </c>
      <c r="AZ33" s="5" t="b">
        <v>1</v>
      </c>
      <c r="BA33" s="5" t="b">
        <v>1</v>
      </c>
      <c r="BB33" s="5" t="b">
        <v>1</v>
      </c>
      <c r="BC33" s="5" t="b">
        <v>1</v>
      </c>
      <c r="BD33" s="5" t="b">
        <v>1</v>
      </c>
      <c r="BE33" s="5" t="b">
        <v>1</v>
      </c>
      <c r="BF33" s="5" t="b">
        <v>1</v>
      </c>
      <c r="BG33" s="5" t="b">
        <v>1</v>
      </c>
      <c r="BH33" s="5" t="b">
        <v>1</v>
      </c>
      <c r="BI33" s="5" t="b">
        <v>1</v>
      </c>
      <c r="BJ33" s="5" t="b">
        <v>1</v>
      </c>
      <c r="BK33" s="5" t="b">
        <v>1</v>
      </c>
      <c r="BL33" s="5" t="b">
        <v>1</v>
      </c>
      <c r="BM33" s="5" t="b">
        <v>1</v>
      </c>
      <c r="BN33" s="5" t="b">
        <v>1</v>
      </c>
      <c r="BO33" s="5" t="b">
        <v>1</v>
      </c>
      <c r="BP33" s="5" t="b">
        <v>1</v>
      </c>
      <c r="BQ33" s="5" t="b">
        <v>1</v>
      </c>
      <c r="BR33" s="5" t="b">
        <v>1</v>
      </c>
      <c r="BS33" s="5" t="b">
        <v>1</v>
      </c>
      <c r="BT33" s="5" t="b">
        <v>1</v>
      </c>
      <c r="BU33" s="5" t="b">
        <v>1</v>
      </c>
      <c r="BV33" s="5" t="b">
        <v>1</v>
      </c>
      <c r="BW33" s="5" t="b">
        <v>1</v>
      </c>
      <c r="BX33" s="5" t="b">
        <v>1</v>
      </c>
      <c r="BY33" s="5" t="b">
        <v>1</v>
      </c>
      <c r="BZ33" s="5" t="b">
        <v>1</v>
      </c>
      <c r="CA33" s="5" t="b">
        <v>1</v>
      </c>
      <c r="CB33" s="5" t="b">
        <v>1</v>
      </c>
      <c r="CC33" s="5" t="b">
        <v>1</v>
      </c>
      <c r="CD33" s="5" t="b">
        <v>1</v>
      </c>
      <c r="CE33" s="5" t="b">
        <v>1</v>
      </c>
      <c r="CF33" s="5" t="b">
        <v>1</v>
      </c>
      <c r="CG33" s="5" t="b">
        <v>1</v>
      </c>
      <c r="CH33" s="5" t="b">
        <v>1</v>
      </c>
      <c r="CI33" s="5" t="b">
        <v>1</v>
      </c>
      <c r="CJ33" s="5" t="b">
        <v>0</v>
      </c>
      <c r="CK33" s="5" t="b">
        <v>1</v>
      </c>
      <c r="CL33" s="5" t="b">
        <v>1</v>
      </c>
      <c r="CM33" s="5" t="b">
        <v>1</v>
      </c>
      <c r="CN33" s="5" t="b">
        <v>0</v>
      </c>
      <c r="CO33" s="5" t="b">
        <v>0</v>
      </c>
      <c r="CP33" s="5" t="b">
        <v>0</v>
      </c>
      <c r="CQ33" s="5" t="b">
        <v>0</v>
      </c>
      <c r="CR33" s="5" t="b">
        <v>0</v>
      </c>
      <c r="CS33" s="5" t="b">
        <v>0</v>
      </c>
      <c r="CT33" s="5" t="b">
        <v>1</v>
      </c>
      <c r="CU33" s="5" t="b">
        <v>1</v>
      </c>
      <c r="CV33" s="5" t="b">
        <v>1</v>
      </c>
      <c r="CW33" s="5" t="b">
        <v>1</v>
      </c>
      <c r="CX33" s="5" t="b">
        <v>1</v>
      </c>
      <c r="CY33" s="5" t="b">
        <v>1</v>
      </c>
      <c r="CZ33" s="5" t="b">
        <v>1</v>
      </c>
      <c r="DA33" s="5" t="b">
        <v>1</v>
      </c>
      <c r="DB33" s="5" t="b">
        <v>1</v>
      </c>
      <c r="DC33" s="5" t="b">
        <v>1</v>
      </c>
      <c r="DD33" s="5" t="b">
        <v>1</v>
      </c>
      <c r="DE33" s="5" t="b">
        <v>1</v>
      </c>
      <c r="DF33" s="5" t="b">
        <v>1</v>
      </c>
      <c r="DG33" s="5" t="b">
        <v>1</v>
      </c>
      <c r="DH33" s="5" t="b">
        <v>1</v>
      </c>
      <c r="DI33" s="5" t="b">
        <v>1</v>
      </c>
      <c r="DJ33" s="5" t="b">
        <v>1</v>
      </c>
      <c r="DK33" s="5" t="b">
        <v>1</v>
      </c>
      <c r="DL33" s="5" t="b">
        <v>1</v>
      </c>
      <c r="DM33" s="5" t="b">
        <v>1</v>
      </c>
    </row>
    <row r="34" spans="1:117" s="5" customFormat="1">
      <c r="A34" s="5">
        <v>24</v>
      </c>
      <c r="B34" s="4" t="b" cm="1">
        <f t="array" ref="B34">IF(AND(C23:DM23=TRUE), TRUE, FALSE)</f>
        <v>0</v>
      </c>
      <c r="C34" s="5" t="b" cm="1">
        <f t="array" ref="C34:DM34">'Pull Db Dbeaver '!A24:DK24='Pull Data File'!A24:DK24</f>
        <v>1</v>
      </c>
      <c r="D34" s="5" t="b">
        <v>1</v>
      </c>
      <c r="E34" s="5" t="b">
        <v>1</v>
      </c>
      <c r="F34" s="5" t="b">
        <v>1</v>
      </c>
      <c r="G34" s="5" t="b">
        <v>1</v>
      </c>
      <c r="H34" s="5" t="b">
        <v>1</v>
      </c>
      <c r="I34" s="5" t="b">
        <v>1</v>
      </c>
      <c r="J34" s="5" t="b">
        <v>1</v>
      </c>
      <c r="K34" s="5" t="b">
        <v>1</v>
      </c>
      <c r="L34" s="5" t="b">
        <v>1</v>
      </c>
      <c r="M34" s="5" t="b">
        <v>1</v>
      </c>
      <c r="N34" s="5" t="b">
        <v>1</v>
      </c>
      <c r="O34" s="5" t="b">
        <v>1</v>
      </c>
      <c r="P34" s="5" t="b">
        <v>1</v>
      </c>
      <c r="Q34" s="5" t="b">
        <v>1</v>
      </c>
      <c r="R34" s="5" t="b">
        <v>1</v>
      </c>
      <c r="S34" s="5" t="b">
        <v>1</v>
      </c>
      <c r="T34" s="5" t="b">
        <v>1</v>
      </c>
      <c r="U34" s="5" t="b">
        <v>1</v>
      </c>
      <c r="V34" s="5" t="b">
        <v>1</v>
      </c>
      <c r="W34" s="5" t="b">
        <v>1</v>
      </c>
      <c r="X34" s="5" t="b">
        <v>1</v>
      </c>
      <c r="Y34" s="5" t="b">
        <v>1</v>
      </c>
      <c r="Z34" s="5" t="b">
        <v>1</v>
      </c>
      <c r="AA34" s="5" t="b">
        <v>1</v>
      </c>
      <c r="AB34" s="5" t="b">
        <v>1</v>
      </c>
      <c r="AC34" s="5" t="b">
        <v>0</v>
      </c>
      <c r="AD34" s="5" t="b">
        <v>0</v>
      </c>
      <c r="AE34" s="5" t="b">
        <v>0</v>
      </c>
      <c r="AF34" s="5" t="b">
        <v>1</v>
      </c>
      <c r="AG34" s="5" t="b">
        <v>1</v>
      </c>
      <c r="AH34" s="5" t="b">
        <v>1</v>
      </c>
      <c r="AI34" s="5" t="b">
        <v>1</v>
      </c>
      <c r="AJ34" s="5" t="b">
        <v>1</v>
      </c>
      <c r="AK34" s="5" t="b">
        <v>1</v>
      </c>
      <c r="AL34" s="5" t="b">
        <v>1</v>
      </c>
      <c r="AM34" s="5" t="b">
        <v>1</v>
      </c>
      <c r="AN34" s="5" t="b">
        <v>1</v>
      </c>
      <c r="AO34" s="5" t="b">
        <v>1</v>
      </c>
      <c r="AP34" s="5" t="b">
        <v>1</v>
      </c>
      <c r="AQ34" s="5" t="b">
        <v>1</v>
      </c>
      <c r="AR34" s="5" t="b">
        <v>1</v>
      </c>
      <c r="AS34" s="5" t="b">
        <v>1</v>
      </c>
      <c r="AT34" s="5" t="b">
        <v>1</v>
      </c>
      <c r="AU34" s="5" t="b">
        <v>1</v>
      </c>
      <c r="AV34" s="5" t="b">
        <v>1</v>
      </c>
      <c r="AW34" s="5" t="b">
        <v>1</v>
      </c>
      <c r="AX34" s="5" t="b">
        <v>1</v>
      </c>
      <c r="AY34" s="5" t="b">
        <v>1</v>
      </c>
      <c r="AZ34" s="5" t="b">
        <v>1</v>
      </c>
      <c r="BA34" s="5" t="b">
        <v>1</v>
      </c>
      <c r="BB34" s="5" t="b">
        <v>1</v>
      </c>
      <c r="BC34" s="5" t="b">
        <v>1</v>
      </c>
      <c r="BD34" s="5" t="b">
        <v>1</v>
      </c>
      <c r="BE34" s="5" t="b">
        <v>1</v>
      </c>
      <c r="BF34" s="5" t="b">
        <v>1</v>
      </c>
      <c r="BG34" s="5" t="b">
        <v>1</v>
      </c>
      <c r="BH34" s="5" t="b">
        <v>1</v>
      </c>
      <c r="BI34" s="5" t="b">
        <v>1</v>
      </c>
      <c r="BJ34" s="5" t="b">
        <v>1</v>
      </c>
      <c r="BK34" s="5" t="b">
        <v>1</v>
      </c>
      <c r="BL34" s="5" t="b">
        <v>1</v>
      </c>
      <c r="BM34" s="5" t="b">
        <v>1</v>
      </c>
      <c r="BN34" s="5" t="b">
        <v>1</v>
      </c>
      <c r="BO34" s="5" t="b">
        <v>1</v>
      </c>
      <c r="BP34" s="5" t="b">
        <v>1</v>
      </c>
      <c r="BQ34" s="5" t="b">
        <v>1</v>
      </c>
      <c r="BR34" s="5" t="b">
        <v>1</v>
      </c>
      <c r="BS34" s="5" t="b">
        <v>1</v>
      </c>
      <c r="BT34" s="5" t="b">
        <v>1</v>
      </c>
      <c r="BU34" s="5" t="b">
        <v>1</v>
      </c>
      <c r="BV34" s="5" t="b">
        <v>1</v>
      </c>
      <c r="BW34" s="5" t="b">
        <v>1</v>
      </c>
      <c r="BX34" s="5" t="b">
        <v>1</v>
      </c>
      <c r="BY34" s="5" t="b">
        <v>1</v>
      </c>
      <c r="BZ34" s="5" t="b">
        <v>1</v>
      </c>
      <c r="CA34" s="5" t="b">
        <v>1</v>
      </c>
      <c r="CB34" s="5" t="b">
        <v>1</v>
      </c>
      <c r="CC34" s="5" t="b">
        <v>1</v>
      </c>
      <c r="CD34" s="5" t="b">
        <v>1</v>
      </c>
      <c r="CE34" s="5" t="b">
        <v>1</v>
      </c>
      <c r="CF34" s="5" t="b">
        <v>1</v>
      </c>
      <c r="CG34" s="5" t="b">
        <v>1</v>
      </c>
      <c r="CH34" s="5" t="b">
        <v>1</v>
      </c>
      <c r="CI34" s="5" t="b">
        <v>1</v>
      </c>
      <c r="CJ34" s="5" t="b">
        <v>0</v>
      </c>
      <c r="CK34" s="5" t="b">
        <v>1</v>
      </c>
      <c r="CL34" s="5" t="b">
        <v>1</v>
      </c>
      <c r="CM34" s="5" t="b">
        <v>1</v>
      </c>
      <c r="CN34" s="5" t="b">
        <v>0</v>
      </c>
      <c r="CO34" s="5" t="b">
        <v>0</v>
      </c>
      <c r="CP34" s="5" t="b">
        <v>0</v>
      </c>
      <c r="CQ34" s="5" t="b">
        <v>0</v>
      </c>
      <c r="CR34" s="5" t="b">
        <v>0</v>
      </c>
      <c r="CS34" s="5" t="b">
        <v>0</v>
      </c>
      <c r="CT34" s="5" t="b">
        <v>1</v>
      </c>
      <c r="CU34" s="5" t="b">
        <v>1</v>
      </c>
      <c r="CV34" s="5" t="b">
        <v>1</v>
      </c>
      <c r="CW34" s="5" t="b">
        <v>1</v>
      </c>
      <c r="CX34" s="5" t="b">
        <v>1</v>
      </c>
      <c r="CY34" s="5" t="b">
        <v>1</v>
      </c>
      <c r="CZ34" s="5" t="b">
        <v>1</v>
      </c>
      <c r="DA34" s="5" t="b">
        <v>1</v>
      </c>
      <c r="DB34" s="5" t="b">
        <v>1</v>
      </c>
      <c r="DC34" s="5" t="b">
        <v>1</v>
      </c>
      <c r="DD34" s="5" t="b">
        <v>1</v>
      </c>
      <c r="DE34" s="5" t="b">
        <v>1</v>
      </c>
      <c r="DF34" s="5" t="b">
        <v>1</v>
      </c>
      <c r="DG34" s="5" t="b">
        <v>1</v>
      </c>
      <c r="DH34" s="5" t="b">
        <v>1</v>
      </c>
      <c r="DI34" s="5" t="b">
        <v>1</v>
      </c>
      <c r="DJ34" s="5" t="b">
        <v>1</v>
      </c>
      <c r="DK34" s="5" t="b">
        <v>1</v>
      </c>
      <c r="DL34" s="5" t="b">
        <v>1</v>
      </c>
      <c r="DM34" s="5" t="b">
        <v>1</v>
      </c>
    </row>
    <row r="35" spans="1:117" s="5" customFormat="1">
      <c r="A35" s="5">
        <v>25</v>
      </c>
      <c r="B35" s="4" t="b" cm="1">
        <f t="array" ref="B35">IF(AND(C24:DM24=TRUE), TRUE, FALSE)</f>
        <v>0</v>
      </c>
      <c r="C35" s="5" t="b" cm="1">
        <f t="array" ref="C35:DM35">'Pull Db Dbeaver '!A25:DK25='Pull Data File'!A25:DK25</f>
        <v>1</v>
      </c>
      <c r="D35" s="5" t="b">
        <v>1</v>
      </c>
      <c r="E35" s="5" t="b">
        <v>1</v>
      </c>
      <c r="F35" s="5" t="b">
        <v>1</v>
      </c>
      <c r="G35" s="5" t="b">
        <v>1</v>
      </c>
      <c r="H35" s="5" t="b">
        <v>1</v>
      </c>
      <c r="I35" s="5" t="b">
        <v>1</v>
      </c>
      <c r="J35" s="5" t="b">
        <v>1</v>
      </c>
      <c r="K35" s="5" t="b">
        <v>1</v>
      </c>
      <c r="L35" s="5" t="b">
        <v>1</v>
      </c>
      <c r="M35" s="5" t="b">
        <v>1</v>
      </c>
      <c r="N35" s="5" t="b">
        <v>1</v>
      </c>
      <c r="O35" s="5" t="b">
        <v>1</v>
      </c>
      <c r="P35" s="5" t="b">
        <v>1</v>
      </c>
      <c r="Q35" s="5" t="b">
        <v>1</v>
      </c>
      <c r="R35" s="5" t="b">
        <v>1</v>
      </c>
      <c r="S35" s="5" t="b">
        <v>1</v>
      </c>
      <c r="T35" s="5" t="b">
        <v>1</v>
      </c>
      <c r="U35" s="5" t="b">
        <v>1</v>
      </c>
      <c r="V35" s="5" t="b">
        <v>1</v>
      </c>
      <c r="W35" s="5" t="b">
        <v>1</v>
      </c>
      <c r="X35" s="5" t="b">
        <v>1</v>
      </c>
      <c r="Y35" s="5" t="b">
        <v>1</v>
      </c>
      <c r="Z35" s="5" t="b">
        <v>1</v>
      </c>
      <c r="AA35" s="5" t="b">
        <v>1</v>
      </c>
      <c r="AB35" s="5" t="b">
        <v>1</v>
      </c>
      <c r="AC35" s="5" t="b">
        <v>0</v>
      </c>
      <c r="AD35" s="5" t="b">
        <v>0</v>
      </c>
      <c r="AE35" s="5" t="b">
        <v>0</v>
      </c>
      <c r="AF35" s="5" t="b">
        <v>1</v>
      </c>
      <c r="AG35" s="5" t="b">
        <v>1</v>
      </c>
      <c r="AH35" s="5" t="b">
        <v>1</v>
      </c>
      <c r="AI35" s="5" t="b">
        <v>1</v>
      </c>
      <c r="AJ35" s="5" t="b">
        <v>1</v>
      </c>
      <c r="AK35" s="5" t="b">
        <v>1</v>
      </c>
      <c r="AL35" s="5" t="b">
        <v>1</v>
      </c>
      <c r="AM35" s="5" t="b">
        <v>1</v>
      </c>
      <c r="AN35" s="5" t="b">
        <v>1</v>
      </c>
      <c r="AO35" s="5" t="b">
        <v>1</v>
      </c>
      <c r="AP35" s="5" t="b">
        <v>1</v>
      </c>
      <c r="AQ35" s="5" t="b">
        <v>1</v>
      </c>
      <c r="AR35" s="5" t="b">
        <v>1</v>
      </c>
      <c r="AS35" s="5" t="b">
        <v>1</v>
      </c>
      <c r="AT35" s="5" t="b">
        <v>1</v>
      </c>
      <c r="AU35" s="5" t="b">
        <v>1</v>
      </c>
      <c r="AV35" s="5" t="b">
        <v>1</v>
      </c>
      <c r="AW35" s="5" t="b">
        <v>1</v>
      </c>
      <c r="AX35" s="5" t="b">
        <v>1</v>
      </c>
      <c r="AY35" s="5" t="b">
        <v>1</v>
      </c>
      <c r="AZ35" s="5" t="b">
        <v>1</v>
      </c>
      <c r="BA35" s="5" t="b">
        <v>1</v>
      </c>
      <c r="BB35" s="5" t="b">
        <v>1</v>
      </c>
      <c r="BC35" s="5" t="b">
        <v>1</v>
      </c>
      <c r="BD35" s="5" t="b">
        <v>1</v>
      </c>
      <c r="BE35" s="5" t="b">
        <v>1</v>
      </c>
      <c r="BF35" s="5" t="b">
        <v>1</v>
      </c>
      <c r="BG35" s="5" t="b">
        <v>1</v>
      </c>
      <c r="BH35" s="5" t="b">
        <v>1</v>
      </c>
      <c r="BI35" s="5" t="b">
        <v>1</v>
      </c>
      <c r="BJ35" s="5" t="b">
        <v>1</v>
      </c>
      <c r="BK35" s="5" t="b">
        <v>1</v>
      </c>
      <c r="BL35" s="5" t="b">
        <v>1</v>
      </c>
      <c r="BM35" s="5" t="b">
        <v>1</v>
      </c>
      <c r="BN35" s="5" t="b">
        <v>1</v>
      </c>
      <c r="BO35" s="5" t="b">
        <v>1</v>
      </c>
      <c r="BP35" s="5" t="b">
        <v>1</v>
      </c>
      <c r="BQ35" s="5" t="b">
        <v>1</v>
      </c>
      <c r="BR35" s="5" t="b">
        <v>1</v>
      </c>
      <c r="BS35" s="5" t="b">
        <v>1</v>
      </c>
      <c r="BT35" s="5" t="b">
        <v>1</v>
      </c>
      <c r="BU35" s="5" t="b">
        <v>1</v>
      </c>
      <c r="BV35" s="5" t="b">
        <v>1</v>
      </c>
      <c r="BW35" s="5" t="b">
        <v>1</v>
      </c>
      <c r="BX35" s="5" t="b">
        <v>1</v>
      </c>
      <c r="BY35" s="5" t="b">
        <v>1</v>
      </c>
      <c r="BZ35" s="5" t="b">
        <v>1</v>
      </c>
      <c r="CA35" s="5" t="b">
        <v>1</v>
      </c>
      <c r="CB35" s="5" t="b">
        <v>1</v>
      </c>
      <c r="CC35" s="5" t="b">
        <v>1</v>
      </c>
      <c r="CD35" s="5" t="b">
        <v>1</v>
      </c>
      <c r="CE35" s="5" t="b">
        <v>1</v>
      </c>
      <c r="CF35" s="5" t="b">
        <v>1</v>
      </c>
      <c r="CG35" s="5" t="b">
        <v>1</v>
      </c>
      <c r="CH35" s="5" t="b">
        <v>1</v>
      </c>
      <c r="CI35" s="5" t="b">
        <v>1</v>
      </c>
      <c r="CJ35" s="5" t="b">
        <v>0</v>
      </c>
      <c r="CK35" s="5" t="b">
        <v>1</v>
      </c>
      <c r="CL35" s="5" t="b">
        <v>1</v>
      </c>
      <c r="CM35" s="5" t="b">
        <v>1</v>
      </c>
      <c r="CN35" s="5" t="b">
        <v>0</v>
      </c>
      <c r="CO35" s="5" t="b">
        <v>0</v>
      </c>
      <c r="CP35" s="5" t="b">
        <v>0</v>
      </c>
      <c r="CQ35" s="5" t="b">
        <v>0</v>
      </c>
      <c r="CR35" s="5" t="b">
        <v>0</v>
      </c>
      <c r="CS35" s="5" t="b">
        <v>0</v>
      </c>
      <c r="CT35" s="5" t="b">
        <v>1</v>
      </c>
      <c r="CU35" s="5" t="b">
        <v>1</v>
      </c>
      <c r="CV35" s="5" t="b">
        <v>1</v>
      </c>
      <c r="CW35" s="5" t="b">
        <v>1</v>
      </c>
      <c r="CX35" s="5" t="b">
        <v>1</v>
      </c>
      <c r="CY35" s="5" t="b">
        <v>1</v>
      </c>
      <c r="CZ35" s="5" t="b">
        <v>1</v>
      </c>
      <c r="DA35" s="5" t="b">
        <v>1</v>
      </c>
      <c r="DB35" s="5" t="b">
        <v>1</v>
      </c>
      <c r="DC35" s="5" t="b">
        <v>1</v>
      </c>
      <c r="DD35" s="5" t="b">
        <v>1</v>
      </c>
      <c r="DE35" s="5" t="b">
        <v>1</v>
      </c>
      <c r="DF35" s="5" t="b">
        <v>1</v>
      </c>
      <c r="DG35" s="5" t="b">
        <v>1</v>
      </c>
      <c r="DH35" s="5" t="b">
        <v>1</v>
      </c>
      <c r="DI35" s="5" t="b">
        <v>1</v>
      </c>
      <c r="DJ35" s="5" t="b">
        <v>1</v>
      </c>
      <c r="DK35" s="5" t="b">
        <v>1</v>
      </c>
      <c r="DL35" s="5" t="b">
        <v>1</v>
      </c>
      <c r="DM35" s="5" t="b">
        <v>1</v>
      </c>
    </row>
    <row r="36" spans="1:117" s="5" customFormat="1">
      <c r="A36" s="5">
        <v>26</v>
      </c>
      <c r="B36" s="4" t="b" cm="1">
        <f t="array" ref="B36">IF(AND(C25:DM25=TRUE), TRUE, FALSE)</f>
        <v>0</v>
      </c>
      <c r="C36" s="5" t="b" cm="1">
        <f t="array" ref="C36:DM36">'Pull Db Dbeaver '!A26:DK26='Pull Data File'!A26:DK26</f>
        <v>1</v>
      </c>
      <c r="D36" s="5" t="b">
        <v>1</v>
      </c>
      <c r="E36" s="5" t="b">
        <v>1</v>
      </c>
      <c r="F36" s="5" t="b">
        <v>1</v>
      </c>
      <c r="G36" s="5" t="b">
        <v>1</v>
      </c>
      <c r="H36" s="5" t="b">
        <v>1</v>
      </c>
      <c r="I36" s="5" t="b">
        <v>1</v>
      </c>
      <c r="J36" s="5" t="b">
        <v>1</v>
      </c>
      <c r="K36" s="5" t="b">
        <v>1</v>
      </c>
      <c r="L36" s="5" t="b">
        <v>1</v>
      </c>
      <c r="M36" s="5" t="b">
        <v>1</v>
      </c>
      <c r="N36" s="5" t="b">
        <v>1</v>
      </c>
      <c r="O36" s="5" t="b">
        <v>1</v>
      </c>
      <c r="P36" s="5" t="b">
        <v>1</v>
      </c>
      <c r="Q36" s="5" t="b">
        <v>1</v>
      </c>
      <c r="R36" s="5" t="b">
        <v>1</v>
      </c>
      <c r="S36" s="5" t="b">
        <v>1</v>
      </c>
      <c r="T36" s="5" t="b">
        <v>1</v>
      </c>
      <c r="U36" s="5" t="b">
        <v>1</v>
      </c>
      <c r="V36" s="5" t="b">
        <v>1</v>
      </c>
      <c r="W36" s="5" t="b">
        <v>1</v>
      </c>
      <c r="X36" s="5" t="b">
        <v>1</v>
      </c>
      <c r="Y36" s="5" t="b">
        <v>1</v>
      </c>
      <c r="Z36" s="5" t="b">
        <v>1</v>
      </c>
      <c r="AA36" s="5" t="b">
        <v>1</v>
      </c>
      <c r="AB36" s="5" t="b">
        <v>1</v>
      </c>
      <c r="AC36" s="5" t="b">
        <v>0</v>
      </c>
      <c r="AD36" s="5" t="b">
        <v>0</v>
      </c>
      <c r="AE36" s="5" t="b">
        <v>0</v>
      </c>
      <c r="AF36" s="5" t="b">
        <v>1</v>
      </c>
      <c r="AG36" s="5" t="b">
        <v>1</v>
      </c>
      <c r="AH36" s="5" t="b">
        <v>1</v>
      </c>
      <c r="AI36" s="5" t="b">
        <v>1</v>
      </c>
      <c r="AJ36" s="5" t="b">
        <v>1</v>
      </c>
      <c r="AK36" s="5" t="b">
        <v>1</v>
      </c>
      <c r="AL36" s="5" t="b">
        <v>1</v>
      </c>
      <c r="AM36" s="5" t="b">
        <v>1</v>
      </c>
      <c r="AN36" s="5" t="b">
        <v>1</v>
      </c>
      <c r="AO36" s="5" t="b">
        <v>1</v>
      </c>
      <c r="AP36" s="5" t="b">
        <v>1</v>
      </c>
      <c r="AQ36" s="5" t="b">
        <v>1</v>
      </c>
      <c r="AR36" s="5" t="b">
        <v>1</v>
      </c>
      <c r="AS36" s="5" t="b">
        <v>1</v>
      </c>
      <c r="AT36" s="5" t="b">
        <v>1</v>
      </c>
      <c r="AU36" s="5" t="b">
        <v>1</v>
      </c>
      <c r="AV36" s="5" t="b">
        <v>1</v>
      </c>
      <c r="AW36" s="5" t="b">
        <v>1</v>
      </c>
      <c r="AX36" s="5" t="b">
        <v>1</v>
      </c>
      <c r="AY36" s="5" t="b">
        <v>1</v>
      </c>
      <c r="AZ36" s="5" t="b">
        <v>1</v>
      </c>
      <c r="BA36" s="5" t="b">
        <v>1</v>
      </c>
      <c r="BB36" s="5" t="b">
        <v>1</v>
      </c>
      <c r="BC36" s="5" t="b">
        <v>1</v>
      </c>
      <c r="BD36" s="5" t="b">
        <v>1</v>
      </c>
      <c r="BE36" s="5" t="b">
        <v>1</v>
      </c>
      <c r="BF36" s="5" t="b">
        <v>1</v>
      </c>
      <c r="BG36" s="5" t="b">
        <v>1</v>
      </c>
      <c r="BH36" s="5" t="b">
        <v>1</v>
      </c>
      <c r="BI36" s="5" t="b">
        <v>1</v>
      </c>
      <c r="BJ36" s="5" t="b">
        <v>1</v>
      </c>
      <c r="BK36" s="5" t="b">
        <v>1</v>
      </c>
      <c r="BL36" s="5" t="b">
        <v>1</v>
      </c>
      <c r="BM36" s="5" t="b">
        <v>1</v>
      </c>
      <c r="BN36" s="5" t="b">
        <v>1</v>
      </c>
      <c r="BO36" s="5" t="b">
        <v>1</v>
      </c>
      <c r="BP36" s="5" t="b">
        <v>1</v>
      </c>
      <c r="BQ36" s="5" t="b">
        <v>1</v>
      </c>
      <c r="BR36" s="5" t="b">
        <v>1</v>
      </c>
      <c r="BS36" s="5" t="b">
        <v>1</v>
      </c>
      <c r="BT36" s="5" t="b">
        <v>1</v>
      </c>
      <c r="BU36" s="5" t="b">
        <v>1</v>
      </c>
      <c r="BV36" s="5" t="b">
        <v>1</v>
      </c>
      <c r="BW36" s="5" t="b">
        <v>1</v>
      </c>
      <c r="BX36" s="5" t="b">
        <v>1</v>
      </c>
      <c r="BY36" s="5" t="b">
        <v>1</v>
      </c>
      <c r="BZ36" s="5" t="b">
        <v>1</v>
      </c>
      <c r="CA36" s="5" t="b">
        <v>1</v>
      </c>
      <c r="CB36" s="5" t="b">
        <v>1</v>
      </c>
      <c r="CC36" s="5" t="b">
        <v>1</v>
      </c>
      <c r="CD36" s="5" t="b">
        <v>1</v>
      </c>
      <c r="CE36" s="5" t="b">
        <v>1</v>
      </c>
      <c r="CF36" s="5" t="b">
        <v>1</v>
      </c>
      <c r="CG36" s="5" t="b">
        <v>1</v>
      </c>
      <c r="CH36" s="5" t="b">
        <v>1</v>
      </c>
      <c r="CI36" s="5" t="b">
        <v>1</v>
      </c>
      <c r="CJ36" s="5" t="b">
        <v>0</v>
      </c>
      <c r="CK36" s="5" t="b">
        <v>1</v>
      </c>
      <c r="CL36" s="5" t="b">
        <v>1</v>
      </c>
      <c r="CM36" s="5" t="b">
        <v>1</v>
      </c>
      <c r="CN36" s="5" t="b">
        <v>0</v>
      </c>
      <c r="CO36" s="5" t="b">
        <v>0</v>
      </c>
      <c r="CP36" s="5" t="b">
        <v>0</v>
      </c>
      <c r="CQ36" s="5" t="b">
        <v>0</v>
      </c>
      <c r="CR36" s="5" t="b">
        <v>0</v>
      </c>
      <c r="CS36" s="5" t="b">
        <v>0</v>
      </c>
      <c r="CT36" s="5" t="b">
        <v>1</v>
      </c>
      <c r="CU36" s="5" t="b">
        <v>1</v>
      </c>
      <c r="CV36" s="5" t="b">
        <v>1</v>
      </c>
      <c r="CW36" s="5" t="b">
        <v>1</v>
      </c>
      <c r="CX36" s="5" t="b">
        <v>1</v>
      </c>
      <c r="CY36" s="5" t="b">
        <v>1</v>
      </c>
      <c r="CZ36" s="5" t="b">
        <v>1</v>
      </c>
      <c r="DA36" s="5" t="b">
        <v>1</v>
      </c>
      <c r="DB36" s="5" t="b">
        <v>1</v>
      </c>
      <c r="DC36" s="5" t="b">
        <v>1</v>
      </c>
      <c r="DD36" s="5" t="b">
        <v>1</v>
      </c>
      <c r="DE36" s="5" t="b">
        <v>1</v>
      </c>
      <c r="DF36" s="5" t="b">
        <v>1</v>
      </c>
      <c r="DG36" s="5" t="b">
        <v>1</v>
      </c>
      <c r="DH36" s="5" t="b">
        <v>1</v>
      </c>
      <c r="DI36" s="5" t="b">
        <v>1</v>
      </c>
      <c r="DJ36" s="5" t="b">
        <v>1</v>
      </c>
      <c r="DK36" s="5" t="b">
        <v>1</v>
      </c>
      <c r="DL36" s="5" t="b">
        <v>1</v>
      </c>
      <c r="DM36" s="5" t="b">
        <v>1</v>
      </c>
    </row>
    <row r="37" spans="1:117" s="5" customFormat="1">
      <c r="A37" s="5">
        <v>27</v>
      </c>
      <c r="B37" s="4" t="b" cm="1">
        <f t="array" ref="B37">IF(AND(C26:DM26=TRUE), TRUE, FALSE)</f>
        <v>0</v>
      </c>
      <c r="C37" s="5" t="b" cm="1">
        <f t="array" ref="C37:DM37">'Pull Db Dbeaver '!A27:DK27='Pull Data File'!A27:DK27</f>
        <v>1</v>
      </c>
      <c r="D37" s="5" t="b">
        <v>1</v>
      </c>
      <c r="E37" s="5" t="b">
        <v>1</v>
      </c>
      <c r="F37" s="5" t="b">
        <v>1</v>
      </c>
      <c r="G37" s="5" t="b">
        <v>1</v>
      </c>
      <c r="H37" s="5" t="b">
        <v>1</v>
      </c>
      <c r="I37" s="5" t="b">
        <v>1</v>
      </c>
      <c r="J37" s="5" t="b">
        <v>1</v>
      </c>
      <c r="K37" s="5" t="b">
        <v>1</v>
      </c>
      <c r="L37" s="5" t="b">
        <v>1</v>
      </c>
      <c r="M37" s="5" t="b">
        <v>1</v>
      </c>
      <c r="N37" s="5" t="b">
        <v>1</v>
      </c>
      <c r="O37" s="5" t="b">
        <v>1</v>
      </c>
      <c r="P37" s="5" t="b">
        <v>1</v>
      </c>
      <c r="Q37" s="5" t="b">
        <v>1</v>
      </c>
      <c r="R37" s="5" t="b">
        <v>1</v>
      </c>
      <c r="S37" s="5" t="b">
        <v>1</v>
      </c>
      <c r="T37" s="5" t="b">
        <v>1</v>
      </c>
      <c r="U37" s="5" t="b">
        <v>1</v>
      </c>
      <c r="V37" s="5" t="b">
        <v>1</v>
      </c>
      <c r="W37" s="5" t="b">
        <v>1</v>
      </c>
      <c r="X37" s="5" t="b">
        <v>1</v>
      </c>
      <c r="Y37" s="5" t="b">
        <v>1</v>
      </c>
      <c r="Z37" s="5" t="b">
        <v>1</v>
      </c>
      <c r="AA37" s="5" t="b">
        <v>1</v>
      </c>
      <c r="AB37" s="5" t="b">
        <v>1</v>
      </c>
      <c r="AC37" s="5" t="b">
        <v>0</v>
      </c>
      <c r="AD37" s="5" t="b">
        <v>0</v>
      </c>
      <c r="AE37" s="5" t="b">
        <v>0</v>
      </c>
      <c r="AF37" s="5" t="b">
        <v>1</v>
      </c>
      <c r="AG37" s="5" t="b">
        <v>1</v>
      </c>
      <c r="AH37" s="5" t="b">
        <v>1</v>
      </c>
      <c r="AI37" s="5" t="b">
        <v>1</v>
      </c>
      <c r="AJ37" s="5" t="b">
        <v>1</v>
      </c>
      <c r="AK37" s="5" t="b">
        <v>1</v>
      </c>
      <c r="AL37" s="5" t="b">
        <v>1</v>
      </c>
      <c r="AM37" s="5" t="b">
        <v>1</v>
      </c>
      <c r="AN37" s="5" t="b">
        <v>1</v>
      </c>
      <c r="AO37" s="5" t="b">
        <v>1</v>
      </c>
      <c r="AP37" s="5" t="b">
        <v>1</v>
      </c>
      <c r="AQ37" s="5" t="b">
        <v>1</v>
      </c>
      <c r="AR37" s="5" t="b">
        <v>1</v>
      </c>
      <c r="AS37" s="5" t="b">
        <v>1</v>
      </c>
      <c r="AT37" s="5" t="b">
        <v>1</v>
      </c>
      <c r="AU37" s="5" t="b">
        <v>1</v>
      </c>
      <c r="AV37" s="5" t="b">
        <v>1</v>
      </c>
      <c r="AW37" s="5" t="b">
        <v>1</v>
      </c>
      <c r="AX37" s="5" t="b">
        <v>1</v>
      </c>
      <c r="AY37" s="5" t="b">
        <v>1</v>
      </c>
      <c r="AZ37" s="5" t="b">
        <v>1</v>
      </c>
      <c r="BA37" s="5" t="b">
        <v>1</v>
      </c>
      <c r="BB37" s="5" t="b">
        <v>1</v>
      </c>
      <c r="BC37" s="5" t="b">
        <v>1</v>
      </c>
      <c r="BD37" s="5" t="b">
        <v>1</v>
      </c>
      <c r="BE37" s="5" t="b">
        <v>1</v>
      </c>
      <c r="BF37" s="5" t="b">
        <v>1</v>
      </c>
      <c r="BG37" s="5" t="b">
        <v>1</v>
      </c>
      <c r="BH37" s="5" t="b">
        <v>1</v>
      </c>
      <c r="BI37" s="5" t="b">
        <v>1</v>
      </c>
      <c r="BJ37" s="5" t="b">
        <v>1</v>
      </c>
      <c r="BK37" s="5" t="b">
        <v>1</v>
      </c>
      <c r="BL37" s="5" t="b">
        <v>1</v>
      </c>
      <c r="BM37" s="5" t="b">
        <v>1</v>
      </c>
      <c r="BN37" s="5" t="b">
        <v>1</v>
      </c>
      <c r="BO37" s="5" t="b">
        <v>1</v>
      </c>
      <c r="BP37" s="5" t="b">
        <v>1</v>
      </c>
      <c r="BQ37" s="5" t="b">
        <v>1</v>
      </c>
      <c r="BR37" s="5" t="b">
        <v>1</v>
      </c>
      <c r="BS37" s="5" t="b">
        <v>1</v>
      </c>
      <c r="BT37" s="5" t="b">
        <v>1</v>
      </c>
      <c r="BU37" s="5" t="b">
        <v>1</v>
      </c>
      <c r="BV37" s="5" t="b">
        <v>1</v>
      </c>
      <c r="BW37" s="5" t="b">
        <v>1</v>
      </c>
      <c r="BX37" s="5" t="b">
        <v>1</v>
      </c>
      <c r="BY37" s="5" t="b">
        <v>1</v>
      </c>
      <c r="BZ37" s="5" t="b">
        <v>1</v>
      </c>
      <c r="CA37" s="5" t="b">
        <v>1</v>
      </c>
      <c r="CB37" s="5" t="b">
        <v>1</v>
      </c>
      <c r="CC37" s="5" t="b">
        <v>1</v>
      </c>
      <c r="CD37" s="5" t="b">
        <v>1</v>
      </c>
      <c r="CE37" s="5" t="b">
        <v>1</v>
      </c>
      <c r="CF37" s="5" t="b">
        <v>1</v>
      </c>
      <c r="CG37" s="5" t="b">
        <v>1</v>
      </c>
      <c r="CH37" s="5" t="b">
        <v>1</v>
      </c>
      <c r="CI37" s="5" t="b">
        <v>1</v>
      </c>
      <c r="CJ37" s="5" t="b">
        <v>0</v>
      </c>
      <c r="CK37" s="5" t="b">
        <v>1</v>
      </c>
      <c r="CL37" s="5" t="b">
        <v>1</v>
      </c>
      <c r="CM37" s="5" t="b">
        <v>1</v>
      </c>
      <c r="CN37" s="5" t="b">
        <v>0</v>
      </c>
      <c r="CO37" s="5" t="b">
        <v>0</v>
      </c>
      <c r="CP37" s="5" t="b">
        <v>0</v>
      </c>
      <c r="CQ37" s="5" t="b">
        <v>0</v>
      </c>
      <c r="CR37" s="5" t="b">
        <v>0</v>
      </c>
      <c r="CS37" s="5" t="b">
        <v>0</v>
      </c>
      <c r="CT37" s="5" t="b">
        <v>1</v>
      </c>
      <c r="CU37" s="5" t="b">
        <v>1</v>
      </c>
      <c r="CV37" s="5" t="b">
        <v>1</v>
      </c>
      <c r="CW37" s="5" t="b">
        <v>1</v>
      </c>
      <c r="CX37" s="5" t="b">
        <v>1</v>
      </c>
      <c r="CY37" s="5" t="b">
        <v>1</v>
      </c>
      <c r="CZ37" s="5" t="b">
        <v>1</v>
      </c>
      <c r="DA37" s="5" t="b">
        <v>1</v>
      </c>
      <c r="DB37" s="5" t="b">
        <v>1</v>
      </c>
      <c r="DC37" s="5" t="b">
        <v>1</v>
      </c>
      <c r="DD37" s="5" t="b">
        <v>1</v>
      </c>
      <c r="DE37" s="5" t="b">
        <v>1</v>
      </c>
      <c r="DF37" s="5" t="b">
        <v>1</v>
      </c>
      <c r="DG37" s="5" t="b">
        <v>1</v>
      </c>
      <c r="DH37" s="5" t="b">
        <v>1</v>
      </c>
      <c r="DI37" s="5" t="b">
        <v>1</v>
      </c>
      <c r="DJ37" s="5" t="b">
        <v>1</v>
      </c>
      <c r="DK37" s="5" t="b">
        <v>1</v>
      </c>
      <c r="DL37" s="5" t="b">
        <v>1</v>
      </c>
      <c r="DM37" s="5" t="b">
        <v>1</v>
      </c>
    </row>
    <row r="38" spans="1:117" s="5" customFormat="1">
      <c r="A38" s="5">
        <v>28</v>
      </c>
      <c r="B38" s="4" t="b" cm="1">
        <f t="array" ref="B38">IF(AND(C27:DM27=TRUE), TRUE, FALSE)</f>
        <v>0</v>
      </c>
      <c r="C38" s="5" t="b" cm="1">
        <f t="array" ref="C38:DM38">'Pull Db Dbeaver '!A28:DK28='Pull Data File'!A28:DK28</f>
        <v>1</v>
      </c>
      <c r="D38" s="5" t="b">
        <v>1</v>
      </c>
      <c r="E38" s="5" t="b">
        <v>1</v>
      </c>
      <c r="F38" s="5" t="b">
        <v>1</v>
      </c>
      <c r="G38" s="5" t="b">
        <v>1</v>
      </c>
      <c r="H38" s="5" t="b">
        <v>1</v>
      </c>
      <c r="I38" s="5" t="b">
        <v>1</v>
      </c>
      <c r="J38" s="5" t="b">
        <v>1</v>
      </c>
      <c r="K38" s="5" t="b">
        <v>1</v>
      </c>
      <c r="L38" s="5" t="b">
        <v>1</v>
      </c>
      <c r="M38" s="5" t="b">
        <v>1</v>
      </c>
      <c r="N38" s="5" t="b">
        <v>1</v>
      </c>
      <c r="O38" s="5" t="b">
        <v>1</v>
      </c>
      <c r="P38" s="5" t="b">
        <v>1</v>
      </c>
      <c r="Q38" s="5" t="b">
        <v>1</v>
      </c>
      <c r="R38" s="5" t="b">
        <v>1</v>
      </c>
      <c r="S38" s="5" t="b">
        <v>1</v>
      </c>
      <c r="T38" s="5" t="b">
        <v>1</v>
      </c>
      <c r="U38" s="5" t="b">
        <v>1</v>
      </c>
      <c r="V38" s="5" t="b">
        <v>1</v>
      </c>
      <c r="W38" s="5" t="b">
        <v>1</v>
      </c>
      <c r="X38" s="5" t="b">
        <v>1</v>
      </c>
      <c r="Y38" s="5" t="b">
        <v>1</v>
      </c>
      <c r="Z38" s="5" t="b">
        <v>1</v>
      </c>
      <c r="AA38" s="5" t="b">
        <v>1</v>
      </c>
      <c r="AB38" s="5" t="b">
        <v>1</v>
      </c>
      <c r="AC38" s="5" t="b">
        <v>0</v>
      </c>
      <c r="AD38" s="5" t="b">
        <v>0</v>
      </c>
      <c r="AE38" s="5" t="b">
        <v>0</v>
      </c>
      <c r="AF38" s="5" t="b">
        <v>1</v>
      </c>
      <c r="AG38" s="5" t="b">
        <v>1</v>
      </c>
      <c r="AH38" s="5" t="b">
        <v>1</v>
      </c>
      <c r="AI38" s="5" t="b">
        <v>1</v>
      </c>
      <c r="AJ38" s="5" t="b">
        <v>1</v>
      </c>
      <c r="AK38" s="5" t="b">
        <v>1</v>
      </c>
      <c r="AL38" s="5" t="b">
        <v>1</v>
      </c>
      <c r="AM38" s="5" t="b">
        <v>1</v>
      </c>
      <c r="AN38" s="5" t="b">
        <v>1</v>
      </c>
      <c r="AO38" s="5" t="b">
        <v>1</v>
      </c>
      <c r="AP38" s="5" t="b">
        <v>1</v>
      </c>
      <c r="AQ38" s="5" t="b">
        <v>1</v>
      </c>
      <c r="AR38" s="5" t="b">
        <v>1</v>
      </c>
      <c r="AS38" s="5" t="b">
        <v>1</v>
      </c>
      <c r="AT38" s="5" t="b">
        <v>1</v>
      </c>
      <c r="AU38" s="5" t="b">
        <v>1</v>
      </c>
      <c r="AV38" s="5" t="b">
        <v>1</v>
      </c>
      <c r="AW38" s="5" t="b">
        <v>1</v>
      </c>
      <c r="AX38" s="5" t="b">
        <v>1</v>
      </c>
      <c r="AY38" s="5" t="b">
        <v>1</v>
      </c>
      <c r="AZ38" s="5" t="b">
        <v>1</v>
      </c>
      <c r="BA38" s="5" t="b">
        <v>1</v>
      </c>
      <c r="BB38" s="5" t="b">
        <v>1</v>
      </c>
      <c r="BC38" s="5" t="b">
        <v>1</v>
      </c>
      <c r="BD38" s="5" t="b">
        <v>1</v>
      </c>
      <c r="BE38" s="5" t="b">
        <v>1</v>
      </c>
      <c r="BF38" s="5" t="b">
        <v>1</v>
      </c>
      <c r="BG38" s="5" t="b">
        <v>1</v>
      </c>
      <c r="BH38" s="5" t="b">
        <v>1</v>
      </c>
      <c r="BI38" s="5" t="b">
        <v>1</v>
      </c>
      <c r="BJ38" s="5" t="b">
        <v>1</v>
      </c>
      <c r="BK38" s="5" t="b">
        <v>1</v>
      </c>
      <c r="BL38" s="5" t="b">
        <v>1</v>
      </c>
      <c r="BM38" s="5" t="b">
        <v>1</v>
      </c>
      <c r="BN38" s="5" t="b">
        <v>1</v>
      </c>
      <c r="BO38" s="5" t="b">
        <v>1</v>
      </c>
      <c r="BP38" s="5" t="b">
        <v>1</v>
      </c>
      <c r="BQ38" s="5" t="b">
        <v>1</v>
      </c>
      <c r="BR38" s="5" t="b">
        <v>1</v>
      </c>
      <c r="BS38" s="5" t="b">
        <v>1</v>
      </c>
      <c r="BT38" s="5" t="b">
        <v>1</v>
      </c>
      <c r="BU38" s="5" t="b">
        <v>1</v>
      </c>
      <c r="BV38" s="5" t="b">
        <v>1</v>
      </c>
      <c r="BW38" s="5" t="b">
        <v>1</v>
      </c>
      <c r="BX38" s="5" t="b">
        <v>1</v>
      </c>
      <c r="BY38" s="5" t="b">
        <v>1</v>
      </c>
      <c r="BZ38" s="5" t="b">
        <v>1</v>
      </c>
      <c r="CA38" s="5" t="b">
        <v>1</v>
      </c>
      <c r="CB38" s="5" t="b">
        <v>1</v>
      </c>
      <c r="CC38" s="5" t="b">
        <v>1</v>
      </c>
      <c r="CD38" s="5" t="b">
        <v>1</v>
      </c>
      <c r="CE38" s="5" t="b">
        <v>1</v>
      </c>
      <c r="CF38" s="5" t="b">
        <v>1</v>
      </c>
      <c r="CG38" s="5" t="b">
        <v>1</v>
      </c>
      <c r="CH38" s="5" t="b">
        <v>1</v>
      </c>
      <c r="CI38" s="5" t="b">
        <v>1</v>
      </c>
      <c r="CJ38" s="5" t="b">
        <v>0</v>
      </c>
      <c r="CK38" s="5" t="b">
        <v>1</v>
      </c>
      <c r="CL38" s="5" t="b">
        <v>1</v>
      </c>
      <c r="CM38" s="5" t="b">
        <v>1</v>
      </c>
      <c r="CN38" s="5" t="b">
        <v>0</v>
      </c>
      <c r="CO38" s="5" t="b">
        <v>0</v>
      </c>
      <c r="CP38" s="5" t="b">
        <v>0</v>
      </c>
      <c r="CQ38" s="5" t="b">
        <v>0</v>
      </c>
      <c r="CR38" s="5" t="b">
        <v>0</v>
      </c>
      <c r="CS38" s="5" t="b">
        <v>0</v>
      </c>
      <c r="CT38" s="5" t="b">
        <v>1</v>
      </c>
      <c r="CU38" s="5" t="b">
        <v>1</v>
      </c>
      <c r="CV38" s="5" t="b">
        <v>1</v>
      </c>
      <c r="CW38" s="5" t="b">
        <v>1</v>
      </c>
      <c r="CX38" s="5" t="b">
        <v>1</v>
      </c>
      <c r="CY38" s="5" t="b">
        <v>1</v>
      </c>
      <c r="CZ38" s="5" t="b">
        <v>1</v>
      </c>
      <c r="DA38" s="5" t="b">
        <v>1</v>
      </c>
      <c r="DB38" s="5" t="b">
        <v>1</v>
      </c>
      <c r="DC38" s="5" t="b">
        <v>1</v>
      </c>
      <c r="DD38" s="5" t="b">
        <v>1</v>
      </c>
      <c r="DE38" s="5" t="b">
        <v>1</v>
      </c>
      <c r="DF38" s="5" t="b">
        <v>1</v>
      </c>
      <c r="DG38" s="5" t="b">
        <v>1</v>
      </c>
      <c r="DH38" s="5" t="b">
        <v>1</v>
      </c>
      <c r="DI38" s="5" t="b">
        <v>1</v>
      </c>
      <c r="DJ38" s="5" t="b">
        <v>1</v>
      </c>
      <c r="DK38" s="5" t="b">
        <v>1</v>
      </c>
      <c r="DL38" s="5" t="b">
        <v>1</v>
      </c>
      <c r="DM38" s="5" t="b">
        <v>1</v>
      </c>
    </row>
    <row r="39" spans="1:117" s="5" customFormat="1">
      <c r="A39" s="5">
        <v>29</v>
      </c>
      <c r="B39" s="4" t="b" cm="1">
        <f t="array" ref="B39">IF(AND(C28:DM28=TRUE), TRUE, FALSE)</f>
        <v>0</v>
      </c>
      <c r="C39" s="5" t="b" cm="1">
        <f t="array" ref="C39:DM39">'Pull Db Dbeaver '!A29:DK29='Pull Data File'!A29:DK29</f>
        <v>1</v>
      </c>
      <c r="D39" s="5" t="b">
        <v>1</v>
      </c>
      <c r="E39" s="5" t="b">
        <v>1</v>
      </c>
      <c r="F39" s="5" t="b">
        <v>1</v>
      </c>
      <c r="G39" s="5" t="b">
        <v>1</v>
      </c>
      <c r="H39" s="5" t="b">
        <v>1</v>
      </c>
      <c r="I39" s="5" t="b">
        <v>1</v>
      </c>
      <c r="J39" s="5" t="b">
        <v>1</v>
      </c>
      <c r="K39" s="5" t="b">
        <v>1</v>
      </c>
      <c r="L39" s="5" t="b">
        <v>1</v>
      </c>
      <c r="M39" s="5" t="b">
        <v>1</v>
      </c>
      <c r="N39" s="5" t="b">
        <v>1</v>
      </c>
      <c r="O39" s="5" t="b">
        <v>1</v>
      </c>
      <c r="P39" s="5" t="b">
        <v>1</v>
      </c>
      <c r="Q39" s="5" t="b">
        <v>1</v>
      </c>
      <c r="R39" s="5" t="b">
        <v>1</v>
      </c>
      <c r="S39" s="5" t="b">
        <v>1</v>
      </c>
      <c r="T39" s="5" t="b">
        <v>1</v>
      </c>
      <c r="U39" s="5" t="b">
        <v>1</v>
      </c>
      <c r="V39" s="5" t="b">
        <v>1</v>
      </c>
      <c r="W39" s="5" t="b">
        <v>1</v>
      </c>
      <c r="X39" s="5" t="b">
        <v>1</v>
      </c>
      <c r="Y39" s="5" t="b">
        <v>1</v>
      </c>
      <c r="Z39" s="5" t="b">
        <v>1</v>
      </c>
      <c r="AA39" s="5" t="b">
        <v>1</v>
      </c>
      <c r="AB39" s="5" t="b">
        <v>1</v>
      </c>
      <c r="AC39" s="5" t="b">
        <v>0</v>
      </c>
      <c r="AD39" s="5" t="b">
        <v>0</v>
      </c>
      <c r="AE39" s="5" t="b">
        <v>0</v>
      </c>
      <c r="AF39" s="5" t="b">
        <v>1</v>
      </c>
      <c r="AG39" s="5" t="b">
        <v>1</v>
      </c>
      <c r="AH39" s="5" t="b">
        <v>1</v>
      </c>
      <c r="AI39" s="5" t="b">
        <v>1</v>
      </c>
      <c r="AJ39" s="5" t="b">
        <v>1</v>
      </c>
      <c r="AK39" s="5" t="b">
        <v>1</v>
      </c>
      <c r="AL39" s="5" t="b">
        <v>1</v>
      </c>
      <c r="AM39" s="5" t="b">
        <v>1</v>
      </c>
      <c r="AN39" s="5" t="b">
        <v>1</v>
      </c>
      <c r="AO39" s="5" t="b">
        <v>1</v>
      </c>
      <c r="AP39" s="5" t="b">
        <v>1</v>
      </c>
      <c r="AQ39" s="5" t="b">
        <v>1</v>
      </c>
      <c r="AR39" s="5" t="b">
        <v>1</v>
      </c>
      <c r="AS39" s="5" t="b">
        <v>1</v>
      </c>
      <c r="AT39" s="5" t="b">
        <v>1</v>
      </c>
      <c r="AU39" s="5" t="b">
        <v>1</v>
      </c>
      <c r="AV39" s="5" t="b">
        <v>1</v>
      </c>
      <c r="AW39" s="5" t="b">
        <v>1</v>
      </c>
      <c r="AX39" s="5" t="b">
        <v>1</v>
      </c>
      <c r="AY39" s="5" t="b">
        <v>1</v>
      </c>
      <c r="AZ39" s="5" t="b">
        <v>1</v>
      </c>
      <c r="BA39" s="5" t="b">
        <v>1</v>
      </c>
      <c r="BB39" s="5" t="b">
        <v>1</v>
      </c>
      <c r="BC39" s="5" t="b">
        <v>1</v>
      </c>
      <c r="BD39" s="5" t="b">
        <v>1</v>
      </c>
      <c r="BE39" s="5" t="b">
        <v>1</v>
      </c>
      <c r="BF39" s="5" t="b">
        <v>1</v>
      </c>
      <c r="BG39" s="5" t="b">
        <v>1</v>
      </c>
      <c r="BH39" s="5" t="b">
        <v>1</v>
      </c>
      <c r="BI39" s="5" t="b">
        <v>1</v>
      </c>
      <c r="BJ39" s="5" t="b">
        <v>1</v>
      </c>
      <c r="BK39" s="5" t="b">
        <v>1</v>
      </c>
      <c r="BL39" s="5" t="b">
        <v>1</v>
      </c>
      <c r="BM39" s="5" t="b">
        <v>1</v>
      </c>
      <c r="BN39" s="5" t="b">
        <v>1</v>
      </c>
      <c r="BO39" s="5" t="b">
        <v>1</v>
      </c>
      <c r="BP39" s="5" t="b">
        <v>1</v>
      </c>
      <c r="BQ39" s="5" t="b">
        <v>1</v>
      </c>
      <c r="BR39" s="5" t="b">
        <v>1</v>
      </c>
      <c r="BS39" s="5" t="b">
        <v>1</v>
      </c>
      <c r="BT39" s="5" t="b">
        <v>1</v>
      </c>
      <c r="BU39" s="5" t="b">
        <v>1</v>
      </c>
      <c r="BV39" s="5" t="b">
        <v>1</v>
      </c>
      <c r="BW39" s="5" t="b">
        <v>1</v>
      </c>
      <c r="BX39" s="5" t="b">
        <v>1</v>
      </c>
      <c r="BY39" s="5" t="b">
        <v>1</v>
      </c>
      <c r="BZ39" s="5" t="b">
        <v>1</v>
      </c>
      <c r="CA39" s="5" t="b">
        <v>1</v>
      </c>
      <c r="CB39" s="5" t="b">
        <v>1</v>
      </c>
      <c r="CC39" s="5" t="b">
        <v>1</v>
      </c>
      <c r="CD39" s="5" t="b">
        <v>1</v>
      </c>
      <c r="CE39" s="5" t="b">
        <v>1</v>
      </c>
      <c r="CF39" s="5" t="b">
        <v>1</v>
      </c>
      <c r="CG39" s="5" t="b">
        <v>1</v>
      </c>
      <c r="CH39" s="5" t="b">
        <v>1</v>
      </c>
      <c r="CI39" s="5" t="b">
        <v>1</v>
      </c>
      <c r="CJ39" s="5" t="b">
        <v>0</v>
      </c>
      <c r="CK39" s="5" t="b">
        <v>1</v>
      </c>
      <c r="CL39" s="5" t="b">
        <v>1</v>
      </c>
      <c r="CM39" s="5" t="b">
        <v>1</v>
      </c>
      <c r="CN39" s="5" t="b">
        <v>0</v>
      </c>
      <c r="CO39" s="5" t="b">
        <v>0</v>
      </c>
      <c r="CP39" s="5" t="b">
        <v>0</v>
      </c>
      <c r="CQ39" s="5" t="b">
        <v>0</v>
      </c>
      <c r="CR39" s="5" t="b">
        <v>0</v>
      </c>
      <c r="CS39" s="5" t="b">
        <v>0</v>
      </c>
      <c r="CT39" s="5" t="b">
        <v>1</v>
      </c>
      <c r="CU39" s="5" t="b">
        <v>1</v>
      </c>
      <c r="CV39" s="5" t="b">
        <v>1</v>
      </c>
      <c r="CW39" s="5" t="b">
        <v>1</v>
      </c>
      <c r="CX39" s="5" t="b">
        <v>1</v>
      </c>
      <c r="CY39" s="5" t="b">
        <v>1</v>
      </c>
      <c r="CZ39" s="5" t="b">
        <v>1</v>
      </c>
      <c r="DA39" s="5" t="b">
        <v>1</v>
      </c>
      <c r="DB39" s="5" t="b">
        <v>1</v>
      </c>
      <c r="DC39" s="5" t="b">
        <v>1</v>
      </c>
      <c r="DD39" s="5" t="b">
        <v>1</v>
      </c>
      <c r="DE39" s="5" t="b">
        <v>1</v>
      </c>
      <c r="DF39" s="5" t="b">
        <v>1</v>
      </c>
      <c r="DG39" s="5" t="b">
        <v>1</v>
      </c>
      <c r="DH39" s="5" t="b">
        <v>1</v>
      </c>
      <c r="DI39" s="5" t="b">
        <v>1</v>
      </c>
      <c r="DJ39" s="5" t="b">
        <v>1</v>
      </c>
      <c r="DK39" s="5" t="b">
        <v>1</v>
      </c>
      <c r="DL39" s="5" t="b">
        <v>1</v>
      </c>
      <c r="DM39" s="5" t="b">
        <v>1</v>
      </c>
    </row>
    <row r="40" spans="1:117" s="5" customFormat="1">
      <c r="A40" s="5">
        <v>30</v>
      </c>
      <c r="B40" s="4" t="b" cm="1">
        <f t="array" ref="B40">IF(AND(C29:DM29=TRUE), TRUE, FALSE)</f>
        <v>0</v>
      </c>
      <c r="C40" s="5" t="b" cm="1">
        <f t="array" ref="C40:DM40">'Pull Db Dbeaver '!A30:DK30='Pull Data File'!A30:DK30</f>
        <v>1</v>
      </c>
      <c r="D40" s="5" t="b">
        <v>1</v>
      </c>
      <c r="E40" s="5" t="b">
        <v>1</v>
      </c>
      <c r="F40" s="5" t="b">
        <v>1</v>
      </c>
      <c r="G40" s="5" t="b">
        <v>1</v>
      </c>
      <c r="H40" s="5" t="b">
        <v>1</v>
      </c>
      <c r="I40" s="5" t="b">
        <v>1</v>
      </c>
      <c r="J40" s="5" t="b">
        <v>1</v>
      </c>
      <c r="K40" s="5" t="b">
        <v>1</v>
      </c>
      <c r="L40" s="5" t="b">
        <v>1</v>
      </c>
      <c r="M40" s="5" t="b">
        <v>1</v>
      </c>
      <c r="N40" s="5" t="b">
        <v>1</v>
      </c>
      <c r="O40" s="5" t="b">
        <v>1</v>
      </c>
      <c r="P40" s="5" t="b">
        <v>1</v>
      </c>
      <c r="Q40" s="5" t="b">
        <v>1</v>
      </c>
      <c r="R40" s="5" t="b">
        <v>1</v>
      </c>
      <c r="S40" s="5" t="b">
        <v>1</v>
      </c>
      <c r="T40" s="5" t="b">
        <v>1</v>
      </c>
      <c r="U40" s="5" t="b">
        <v>1</v>
      </c>
      <c r="V40" s="5" t="b">
        <v>1</v>
      </c>
      <c r="W40" s="5" t="b">
        <v>1</v>
      </c>
      <c r="X40" s="5" t="b">
        <v>1</v>
      </c>
      <c r="Y40" s="5" t="b">
        <v>1</v>
      </c>
      <c r="Z40" s="5" t="b">
        <v>1</v>
      </c>
      <c r="AA40" s="5" t="b">
        <v>1</v>
      </c>
      <c r="AB40" s="5" t="b">
        <v>1</v>
      </c>
      <c r="AC40" s="5" t="b">
        <v>0</v>
      </c>
      <c r="AD40" s="5" t="b">
        <v>0</v>
      </c>
      <c r="AE40" s="5" t="b">
        <v>0</v>
      </c>
      <c r="AF40" s="5" t="b">
        <v>1</v>
      </c>
      <c r="AG40" s="5" t="b">
        <v>1</v>
      </c>
      <c r="AH40" s="5" t="b">
        <v>1</v>
      </c>
      <c r="AI40" s="5" t="b">
        <v>1</v>
      </c>
      <c r="AJ40" s="5" t="b">
        <v>1</v>
      </c>
      <c r="AK40" s="5" t="b">
        <v>1</v>
      </c>
      <c r="AL40" s="5" t="b">
        <v>1</v>
      </c>
      <c r="AM40" s="5" t="b">
        <v>1</v>
      </c>
      <c r="AN40" s="5" t="b">
        <v>1</v>
      </c>
      <c r="AO40" s="5" t="b">
        <v>1</v>
      </c>
      <c r="AP40" s="5" t="b">
        <v>1</v>
      </c>
      <c r="AQ40" s="5" t="b">
        <v>1</v>
      </c>
      <c r="AR40" s="5" t="b">
        <v>1</v>
      </c>
      <c r="AS40" s="5" t="b">
        <v>1</v>
      </c>
      <c r="AT40" s="5" t="b">
        <v>1</v>
      </c>
      <c r="AU40" s="5" t="b">
        <v>1</v>
      </c>
      <c r="AV40" s="5" t="b">
        <v>1</v>
      </c>
      <c r="AW40" s="5" t="b">
        <v>1</v>
      </c>
      <c r="AX40" s="5" t="b">
        <v>1</v>
      </c>
      <c r="AY40" s="5" t="b">
        <v>1</v>
      </c>
      <c r="AZ40" s="5" t="b">
        <v>1</v>
      </c>
      <c r="BA40" s="5" t="b">
        <v>1</v>
      </c>
      <c r="BB40" s="5" t="b">
        <v>1</v>
      </c>
      <c r="BC40" s="5" t="b">
        <v>1</v>
      </c>
      <c r="BD40" s="5" t="b">
        <v>1</v>
      </c>
      <c r="BE40" s="5" t="b">
        <v>1</v>
      </c>
      <c r="BF40" s="5" t="b">
        <v>1</v>
      </c>
      <c r="BG40" s="5" t="b">
        <v>1</v>
      </c>
      <c r="BH40" s="5" t="b">
        <v>1</v>
      </c>
      <c r="BI40" s="5" t="b">
        <v>1</v>
      </c>
      <c r="BJ40" s="5" t="b">
        <v>1</v>
      </c>
      <c r="BK40" s="5" t="b">
        <v>1</v>
      </c>
      <c r="BL40" s="5" t="b">
        <v>1</v>
      </c>
      <c r="BM40" s="5" t="b">
        <v>1</v>
      </c>
      <c r="BN40" s="5" t="b">
        <v>1</v>
      </c>
      <c r="BO40" s="5" t="b">
        <v>1</v>
      </c>
      <c r="BP40" s="5" t="b">
        <v>1</v>
      </c>
      <c r="BQ40" s="5" t="b">
        <v>1</v>
      </c>
      <c r="BR40" s="5" t="b">
        <v>1</v>
      </c>
      <c r="BS40" s="5" t="b">
        <v>1</v>
      </c>
      <c r="BT40" s="5" t="b">
        <v>1</v>
      </c>
      <c r="BU40" s="5" t="b">
        <v>1</v>
      </c>
      <c r="BV40" s="5" t="b">
        <v>1</v>
      </c>
      <c r="BW40" s="5" t="b">
        <v>1</v>
      </c>
      <c r="BX40" s="5" t="b">
        <v>1</v>
      </c>
      <c r="BY40" s="5" t="b">
        <v>1</v>
      </c>
      <c r="BZ40" s="5" t="b">
        <v>1</v>
      </c>
      <c r="CA40" s="5" t="b">
        <v>1</v>
      </c>
      <c r="CB40" s="5" t="b">
        <v>1</v>
      </c>
      <c r="CC40" s="5" t="b">
        <v>1</v>
      </c>
      <c r="CD40" s="5" t="b">
        <v>1</v>
      </c>
      <c r="CE40" s="5" t="b">
        <v>1</v>
      </c>
      <c r="CF40" s="5" t="b">
        <v>1</v>
      </c>
      <c r="CG40" s="5" t="b">
        <v>1</v>
      </c>
      <c r="CH40" s="5" t="b">
        <v>1</v>
      </c>
      <c r="CI40" s="5" t="b">
        <v>1</v>
      </c>
      <c r="CJ40" s="5" t="b">
        <v>0</v>
      </c>
      <c r="CK40" s="5" t="b">
        <v>1</v>
      </c>
      <c r="CL40" s="5" t="b">
        <v>1</v>
      </c>
      <c r="CM40" s="5" t="b">
        <v>1</v>
      </c>
      <c r="CN40" s="5" t="b">
        <v>0</v>
      </c>
      <c r="CO40" s="5" t="b">
        <v>0</v>
      </c>
      <c r="CP40" s="5" t="b">
        <v>0</v>
      </c>
      <c r="CQ40" s="5" t="b">
        <v>0</v>
      </c>
      <c r="CR40" s="5" t="b">
        <v>0</v>
      </c>
      <c r="CS40" s="5" t="b">
        <v>0</v>
      </c>
      <c r="CT40" s="5" t="b">
        <v>1</v>
      </c>
      <c r="CU40" s="5" t="b">
        <v>1</v>
      </c>
      <c r="CV40" s="5" t="b">
        <v>1</v>
      </c>
      <c r="CW40" s="5" t="b">
        <v>1</v>
      </c>
      <c r="CX40" s="5" t="b">
        <v>1</v>
      </c>
      <c r="CY40" s="5" t="b">
        <v>1</v>
      </c>
      <c r="CZ40" s="5" t="b">
        <v>1</v>
      </c>
      <c r="DA40" s="5" t="b">
        <v>1</v>
      </c>
      <c r="DB40" s="5" t="b">
        <v>1</v>
      </c>
      <c r="DC40" s="5" t="b">
        <v>1</v>
      </c>
      <c r="DD40" s="5" t="b">
        <v>1</v>
      </c>
      <c r="DE40" s="5" t="b">
        <v>1</v>
      </c>
      <c r="DF40" s="5" t="b">
        <v>1</v>
      </c>
      <c r="DG40" s="5" t="b">
        <v>1</v>
      </c>
      <c r="DH40" s="5" t="b">
        <v>1</v>
      </c>
      <c r="DI40" s="5" t="b">
        <v>1</v>
      </c>
      <c r="DJ40" s="5" t="b">
        <v>1</v>
      </c>
      <c r="DK40" s="5" t="b">
        <v>1</v>
      </c>
      <c r="DL40" s="5" t="b">
        <v>1</v>
      </c>
      <c r="DM40" s="5" t="b">
        <v>1</v>
      </c>
    </row>
    <row r="46" spans="1:117">
      <c r="A46" s="21" t="s">
        <v>562</v>
      </c>
    </row>
    <row r="47" spans="1:117" s="36" customFormat="1">
      <c r="A47" s="37" t="s">
        <v>7</v>
      </c>
      <c r="B47" s="38" t="s">
        <v>10</v>
      </c>
      <c r="C47" s="38" t="s">
        <v>415</v>
      </c>
      <c r="D47" s="38" t="s">
        <v>13</v>
      </c>
      <c r="E47" s="38" t="s">
        <v>15</v>
      </c>
      <c r="F47" s="38" t="s">
        <v>17</v>
      </c>
      <c r="G47" s="38" t="s">
        <v>19</v>
      </c>
      <c r="H47" s="38" t="s">
        <v>19</v>
      </c>
      <c r="I47" s="38" t="s">
        <v>22</v>
      </c>
      <c r="J47" s="38" t="s">
        <v>24</v>
      </c>
      <c r="K47" s="38" t="s">
        <v>19</v>
      </c>
      <c r="L47" s="38" t="s">
        <v>19</v>
      </c>
      <c r="M47" s="38" t="s">
        <v>28</v>
      </c>
      <c r="N47" s="38" t="s">
        <v>30</v>
      </c>
      <c r="O47" s="38" t="s">
        <v>32</v>
      </c>
      <c r="P47" s="38" t="s">
        <v>416</v>
      </c>
      <c r="Q47" s="38" t="s">
        <v>416</v>
      </c>
      <c r="R47" s="38" t="s">
        <v>38</v>
      </c>
      <c r="S47" s="38" t="s">
        <v>40</v>
      </c>
      <c r="T47" s="38" t="s">
        <v>42</v>
      </c>
      <c r="U47" s="38" t="s">
        <v>44</v>
      </c>
      <c r="V47" s="38" t="s">
        <v>19</v>
      </c>
      <c r="W47" s="38" t="s">
        <v>19</v>
      </c>
      <c r="X47" s="38" t="s">
        <v>48</v>
      </c>
      <c r="Y47" s="38" t="s">
        <v>50</v>
      </c>
      <c r="Z47" s="38" t="s">
        <v>52</v>
      </c>
      <c r="AA47" s="38" t="s">
        <v>34</v>
      </c>
      <c r="AB47" s="38" t="s">
        <v>34</v>
      </c>
      <c r="AC47" s="38" t="s">
        <v>34</v>
      </c>
      <c r="AD47" s="38" t="s">
        <v>19</v>
      </c>
      <c r="AE47" s="38" t="s">
        <v>19</v>
      </c>
      <c r="AF47" s="38" t="s">
        <v>62</v>
      </c>
      <c r="AG47" s="38" t="s">
        <v>64</v>
      </c>
      <c r="AH47" s="38" t="s">
        <v>19</v>
      </c>
      <c r="AI47" s="38" t="s">
        <v>19</v>
      </c>
      <c r="AJ47" s="38" t="s">
        <v>19</v>
      </c>
      <c r="AK47" s="38" t="s">
        <v>19</v>
      </c>
      <c r="AL47" s="38" t="s">
        <v>74</v>
      </c>
      <c r="AM47" s="38" t="s">
        <v>76</v>
      </c>
      <c r="AN47" s="38" t="s">
        <v>78</v>
      </c>
      <c r="AO47" s="38" t="s">
        <v>80</v>
      </c>
      <c r="AP47" s="38" t="s">
        <v>82</v>
      </c>
      <c r="AQ47" s="38" t="s">
        <v>84</v>
      </c>
      <c r="AR47" s="38" t="s">
        <v>86</v>
      </c>
      <c r="AS47" s="38" t="s">
        <v>88</v>
      </c>
      <c r="AT47" s="38" t="s">
        <v>90</v>
      </c>
      <c r="AU47" s="38" t="s">
        <v>19</v>
      </c>
      <c r="AV47" s="38" t="s">
        <v>19</v>
      </c>
      <c r="AW47" s="38" t="s">
        <v>312</v>
      </c>
      <c r="AX47" s="38" t="s">
        <v>19</v>
      </c>
      <c r="AY47" s="38" t="s">
        <v>19</v>
      </c>
      <c r="AZ47" s="38" t="s">
        <v>19</v>
      </c>
      <c r="BA47" s="38" t="s">
        <v>19</v>
      </c>
      <c r="BB47" s="38" t="s">
        <v>19</v>
      </c>
      <c r="BC47" s="38" t="s">
        <v>417</v>
      </c>
      <c r="BD47" s="38" t="s">
        <v>418</v>
      </c>
      <c r="BE47" s="38" t="s">
        <v>419</v>
      </c>
      <c r="BF47" s="38" t="s">
        <v>420</v>
      </c>
      <c r="BG47" s="38" t="s">
        <v>82</v>
      </c>
      <c r="BH47" s="38" t="s">
        <v>313</v>
      </c>
      <c r="BI47" s="38" t="s">
        <v>86</v>
      </c>
      <c r="BJ47" s="38" t="s">
        <v>314</v>
      </c>
      <c r="BK47" s="38" t="s">
        <v>421</v>
      </c>
      <c r="BL47" s="38" t="s">
        <v>19</v>
      </c>
      <c r="BM47" s="38" t="s">
        <v>19</v>
      </c>
      <c r="BN47" s="38" t="s">
        <v>19</v>
      </c>
      <c r="BO47" s="38" t="s">
        <v>19</v>
      </c>
      <c r="BP47" s="38" t="s">
        <v>19</v>
      </c>
      <c r="BQ47" s="38" t="s">
        <v>19</v>
      </c>
      <c r="BR47" s="38" t="s">
        <v>19</v>
      </c>
      <c r="BS47" s="38" t="s">
        <v>19</v>
      </c>
      <c r="BT47" s="38" t="s">
        <v>19</v>
      </c>
      <c r="BU47" s="38" t="s">
        <v>19</v>
      </c>
      <c r="BV47" s="38" t="s">
        <v>19</v>
      </c>
      <c r="BW47" s="38" t="s">
        <v>19</v>
      </c>
      <c r="BX47" s="38" t="s">
        <v>19</v>
      </c>
      <c r="BY47" s="38" t="s">
        <v>19</v>
      </c>
      <c r="BZ47" s="38" t="s">
        <v>19</v>
      </c>
      <c r="CA47" s="38" t="s">
        <v>19</v>
      </c>
      <c r="CB47" s="38" t="s">
        <v>19</v>
      </c>
      <c r="CC47" s="38" t="s">
        <v>315</v>
      </c>
      <c r="CD47" s="38" t="s">
        <v>19</v>
      </c>
      <c r="CE47" s="38" t="s">
        <v>19</v>
      </c>
      <c r="CF47" s="38" t="s">
        <v>19</v>
      </c>
      <c r="CG47" s="38" t="s">
        <v>422</v>
      </c>
      <c r="CH47" s="38" t="s">
        <v>423</v>
      </c>
      <c r="CI47" s="38" t="s">
        <v>19</v>
      </c>
      <c r="CJ47" s="38" t="s">
        <v>424</v>
      </c>
      <c r="CK47" s="38" t="s">
        <v>316</v>
      </c>
      <c r="CL47" s="38" t="s">
        <v>34</v>
      </c>
      <c r="CM47" s="38" t="s">
        <v>34</v>
      </c>
      <c r="CN47" s="38" t="s">
        <v>34</v>
      </c>
      <c r="CO47" s="38" t="s">
        <v>34</v>
      </c>
      <c r="CP47" s="38" t="s">
        <v>34</v>
      </c>
      <c r="CQ47" s="38" t="s">
        <v>34</v>
      </c>
      <c r="CR47" s="38" t="s">
        <v>19</v>
      </c>
      <c r="CS47" s="38" t="s">
        <v>279</v>
      </c>
      <c r="CT47" s="38" t="s">
        <v>280</v>
      </c>
      <c r="CU47" s="38" t="s">
        <v>317</v>
      </c>
      <c r="CV47" s="38" t="s">
        <v>301</v>
      </c>
      <c r="CW47" s="38" t="s">
        <v>281</v>
      </c>
      <c r="CX47" s="38" t="s">
        <v>154</v>
      </c>
      <c r="CY47" s="38" t="s">
        <v>282</v>
      </c>
      <c r="CZ47" s="38" t="s">
        <v>283</v>
      </c>
      <c r="DA47" s="38" t="s">
        <v>284</v>
      </c>
      <c r="DB47" s="38" t="s">
        <v>299</v>
      </c>
      <c r="DC47" s="38" t="s">
        <v>19</v>
      </c>
      <c r="DD47" s="38" t="s">
        <v>285</v>
      </c>
      <c r="DE47" s="38" t="s">
        <v>286</v>
      </c>
      <c r="DF47" s="38" t="s">
        <v>287</v>
      </c>
      <c r="DG47" s="38" t="s">
        <v>288</v>
      </c>
      <c r="DH47" s="38" t="s">
        <v>19</v>
      </c>
      <c r="DI47" s="38" t="s">
        <v>289</v>
      </c>
      <c r="DJ47" s="38" t="s">
        <v>156</v>
      </c>
      <c r="DK47" s="38" t="s">
        <v>158</v>
      </c>
    </row>
    <row r="48" spans="1:117" s="36" customFormat="1">
      <c r="A48" s="37" t="s">
        <v>7</v>
      </c>
      <c r="B48" s="38" t="s">
        <v>10</v>
      </c>
      <c r="C48" s="38" t="s">
        <v>415</v>
      </c>
      <c r="D48" s="38" t="s">
        <v>13</v>
      </c>
      <c r="E48" s="38" t="s">
        <v>15</v>
      </c>
      <c r="F48" s="38" t="s">
        <v>17</v>
      </c>
      <c r="G48" s="38" t="s">
        <v>19</v>
      </c>
      <c r="H48" s="38" t="s">
        <v>19</v>
      </c>
      <c r="I48" s="38" t="s">
        <v>22</v>
      </c>
      <c r="J48" s="38" t="s">
        <v>24</v>
      </c>
      <c r="K48" s="38" t="s">
        <v>19</v>
      </c>
      <c r="L48" s="38" t="s">
        <v>19</v>
      </c>
      <c r="M48" s="38" t="s">
        <v>28</v>
      </c>
      <c r="N48" s="38" t="s">
        <v>30</v>
      </c>
      <c r="O48" s="38" t="s">
        <v>32</v>
      </c>
      <c r="P48" s="38" t="s">
        <v>416</v>
      </c>
      <c r="Q48" s="38" t="s">
        <v>416</v>
      </c>
      <c r="R48" s="38" t="s">
        <v>38</v>
      </c>
      <c r="S48" s="38" t="s">
        <v>40</v>
      </c>
      <c r="T48" s="38" t="s">
        <v>42</v>
      </c>
      <c r="U48" s="38" t="s">
        <v>44</v>
      </c>
      <c r="V48" s="38" t="s">
        <v>19</v>
      </c>
      <c r="W48" s="38" t="s">
        <v>19</v>
      </c>
      <c r="X48" s="38" t="s">
        <v>48</v>
      </c>
      <c r="Y48" s="38" t="s">
        <v>50</v>
      </c>
      <c r="Z48" s="38" t="s">
        <v>52</v>
      </c>
      <c r="AA48" s="38" t="s">
        <v>19</v>
      </c>
      <c r="AB48" s="38" t="s">
        <v>19</v>
      </c>
      <c r="AC48" s="38" t="s">
        <v>19</v>
      </c>
      <c r="AD48" s="38" t="s">
        <v>19</v>
      </c>
      <c r="AE48" s="38" t="s">
        <v>19</v>
      </c>
      <c r="AF48" s="38" t="s">
        <v>62</v>
      </c>
      <c r="AG48" s="38" t="s">
        <v>64</v>
      </c>
      <c r="AH48" s="38" t="s">
        <v>19</v>
      </c>
      <c r="AI48" s="38" t="s">
        <v>19</v>
      </c>
      <c r="AJ48" s="38" t="s">
        <v>19</v>
      </c>
      <c r="AK48" s="38" t="s">
        <v>19</v>
      </c>
      <c r="AL48" s="38" t="s">
        <v>74</v>
      </c>
      <c r="AM48" s="38" t="s">
        <v>76</v>
      </c>
      <c r="AN48" s="38" t="s">
        <v>78</v>
      </c>
      <c r="AO48" s="38" t="s">
        <v>80</v>
      </c>
      <c r="AP48" s="38" t="s">
        <v>82</v>
      </c>
      <c r="AQ48" s="38" t="s">
        <v>84</v>
      </c>
      <c r="AR48" s="38" t="s">
        <v>86</v>
      </c>
      <c r="AS48" s="38" t="s">
        <v>88</v>
      </c>
      <c r="AT48" s="38" t="s">
        <v>90</v>
      </c>
      <c r="AU48" s="38" t="s">
        <v>19</v>
      </c>
      <c r="AV48" s="38" t="s">
        <v>19</v>
      </c>
      <c r="AW48" s="38" t="s">
        <v>312</v>
      </c>
      <c r="AX48" s="38" t="s">
        <v>19</v>
      </c>
      <c r="AY48" s="38" t="s">
        <v>19</v>
      </c>
      <c r="AZ48" s="38" t="s">
        <v>19</v>
      </c>
      <c r="BA48" s="38" t="s">
        <v>19</v>
      </c>
      <c r="BB48" s="38" t="s">
        <v>19</v>
      </c>
      <c r="BC48" s="38" t="s">
        <v>417</v>
      </c>
      <c r="BD48" s="38" t="s">
        <v>418</v>
      </c>
      <c r="BE48" s="38" t="s">
        <v>419</v>
      </c>
      <c r="BF48" s="38" t="s">
        <v>420</v>
      </c>
      <c r="BG48" s="38" t="s">
        <v>82</v>
      </c>
      <c r="BH48" s="38" t="s">
        <v>313</v>
      </c>
      <c r="BI48" s="38" t="s">
        <v>86</v>
      </c>
      <c r="BJ48" s="38" t="s">
        <v>314</v>
      </c>
      <c r="BK48" s="38" t="s">
        <v>421</v>
      </c>
      <c r="BL48" s="38" t="s">
        <v>19</v>
      </c>
      <c r="BM48" s="38" t="s">
        <v>19</v>
      </c>
      <c r="BN48" s="38" t="s">
        <v>19</v>
      </c>
      <c r="BO48" s="38" t="s">
        <v>19</v>
      </c>
      <c r="BP48" s="38" t="s">
        <v>19</v>
      </c>
      <c r="BQ48" s="38" t="s">
        <v>19</v>
      </c>
      <c r="BR48" s="38" t="s">
        <v>19</v>
      </c>
      <c r="BS48" s="38" t="s">
        <v>19</v>
      </c>
      <c r="BT48" s="38" t="s">
        <v>19</v>
      </c>
      <c r="BU48" s="38" t="s">
        <v>19</v>
      </c>
      <c r="BV48" s="38" t="s">
        <v>19</v>
      </c>
      <c r="BW48" s="38" t="s">
        <v>19</v>
      </c>
      <c r="BX48" s="38" t="s">
        <v>19</v>
      </c>
      <c r="BY48" s="38" t="s">
        <v>19</v>
      </c>
      <c r="BZ48" s="38" t="s">
        <v>19</v>
      </c>
      <c r="CA48" s="38" t="s">
        <v>19</v>
      </c>
      <c r="CB48" s="38" t="s">
        <v>19</v>
      </c>
      <c r="CC48" s="38" t="s">
        <v>315</v>
      </c>
      <c r="CD48" s="38" t="s">
        <v>19</v>
      </c>
      <c r="CE48" s="38" t="s">
        <v>19</v>
      </c>
      <c r="CF48" s="38" t="s">
        <v>19</v>
      </c>
      <c r="CG48" s="38" t="s">
        <v>422</v>
      </c>
      <c r="CH48" s="38" t="s">
        <v>423</v>
      </c>
      <c r="CI48" s="38" t="s">
        <v>19</v>
      </c>
      <c r="CJ48" s="38" t="s">
        <v>424</v>
      </c>
      <c r="CK48" s="38" t="s">
        <v>316</v>
      </c>
      <c r="CL48" s="38" t="s">
        <v>19</v>
      </c>
      <c r="CM48" s="38" t="s">
        <v>19</v>
      </c>
      <c r="CN48" s="38" t="s">
        <v>19</v>
      </c>
      <c r="CO48" s="38" t="s">
        <v>19</v>
      </c>
      <c r="CP48" s="38" t="s">
        <v>19</v>
      </c>
      <c r="CQ48" s="38" t="s">
        <v>19</v>
      </c>
      <c r="CR48" s="38" t="s">
        <v>19</v>
      </c>
      <c r="CS48" s="38" t="s">
        <v>279</v>
      </c>
      <c r="CT48" s="38" t="s">
        <v>280</v>
      </c>
      <c r="CU48" s="38" t="s">
        <v>317</v>
      </c>
      <c r="CV48" s="38" t="s">
        <v>301</v>
      </c>
      <c r="CW48" s="38" t="s">
        <v>281</v>
      </c>
      <c r="CX48" s="38" t="s">
        <v>154</v>
      </c>
      <c r="CY48" s="38" t="s">
        <v>282</v>
      </c>
      <c r="CZ48" s="38" t="s">
        <v>283</v>
      </c>
      <c r="DA48" s="38" t="s">
        <v>284</v>
      </c>
      <c r="DB48" s="38" t="s">
        <v>299</v>
      </c>
      <c r="DC48" s="38" t="s">
        <v>19</v>
      </c>
      <c r="DD48" s="38" t="s">
        <v>285</v>
      </c>
      <c r="DE48" s="38" t="s">
        <v>286</v>
      </c>
      <c r="DF48" s="38" t="s">
        <v>287</v>
      </c>
      <c r="DG48" s="38" t="s">
        <v>288</v>
      </c>
      <c r="DH48" s="38" t="s">
        <v>19</v>
      </c>
      <c r="DI48" s="38" t="s">
        <v>289</v>
      </c>
      <c r="DJ48" s="38" t="s">
        <v>156</v>
      </c>
      <c r="DK48" s="38" t="s">
        <v>158</v>
      </c>
    </row>
    <row r="49" spans="1:115">
      <c r="A49" s="5" t="b" cm="1">
        <f t="array" ref="A49:DK49">A47:DK47=A48:DK48</f>
        <v>1</v>
      </c>
      <c r="B49" s="5" t="b">
        <v>1</v>
      </c>
      <c r="C49" s="5" t="b">
        <v>1</v>
      </c>
      <c r="D49" s="5" t="b">
        <v>1</v>
      </c>
      <c r="E49" s="5" t="b">
        <v>1</v>
      </c>
      <c r="F49" s="5" t="b">
        <v>1</v>
      </c>
      <c r="G49" s="5" t="b">
        <v>1</v>
      </c>
      <c r="H49" s="5" t="b">
        <v>1</v>
      </c>
      <c r="I49" s="5" t="b">
        <v>1</v>
      </c>
      <c r="J49" s="5" t="b">
        <v>1</v>
      </c>
      <c r="K49" s="5" t="b">
        <v>1</v>
      </c>
      <c r="L49" s="5" t="b">
        <v>1</v>
      </c>
      <c r="M49" s="5" t="b">
        <v>1</v>
      </c>
      <c r="N49" s="5" t="b">
        <v>1</v>
      </c>
      <c r="O49" s="5" t="b">
        <v>1</v>
      </c>
      <c r="P49" s="5" t="b">
        <v>1</v>
      </c>
      <c r="Q49" s="5" t="b">
        <v>1</v>
      </c>
      <c r="R49" s="5" t="b">
        <v>1</v>
      </c>
      <c r="S49" s="5" t="b">
        <v>1</v>
      </c>
      <c r="T49" s="5" t="b">
        <v>1</v>
      </c>
      <c r="U49" s="5" t="b">
        <v>1</v>
      </c>
      <c r="V49" s="5" t="b">
        <v>1</v>
      </c>
      <c r="W49" s="5" t="b">
        <v>1</v>
      </c>
      <c r="X49" s="5" t="b">
        <v>1</v>
      </c>
      <c r="Y49" s="5" t="b">
        <v>1</v>
      </c>
      <c r="Z49" s="5" t="b">
        <v>1</v>
      </c>
      <c r="AA49" s="5" t="b">
        <v>0</v>
      </c>
      <c r="AB49" s="5" t="b">
        <v>0</v>
      </c>
      <c r="AC49" s="5" t="b">
        <v>0</v>
      </c>
      <c r="AD49" s="5" t="b">
        <v>1</v>
      </c>
      <c r="AE49" s="5" t="b">
        <v>1</v>
      </c>
      <c r="AF49" s="5" t="b">
        <v>1</v>
      </c>
      <c r="AG49" s="5" t="b">
        <v>1</v>
      </c>
      <c r="AH49" s="5" t="b">
        <v>1</v>
      </c>
      <c r="AI49" s="5" t="b">
        <v>1</v>
      </c>
      <c r="AJ49" s="5" t="b">
        <v>1</v>
      </c>
      <c r="AK49" s="5" t="b">
        <v>1</v>
      </c>
      <c r="AL49" s="5" t="b">
        <v>1</v>
      </c>
      <c r="AM49" s="5" t="b">
        <v>1</v>
      </c>
      <c r="AN49" s="5" t="b">
        <v>1</v>
      </c>
      <c r="AO49" s="5" t="b">
        <v>1</v>
      </c>
      <c r="AP49" s="5" t="b">
        <v>1</v>
      </c>
      <c r="AQ49" s="5" t="b">
        <v>1</v>
      </c>
      <c r="AR49" s="5" t="b">
        <v>1</v>
      </c>
      <c r="AS49" s="5" t="b">
        <v>1</v>
      </c>
      <c r="AT49" s="5" t="b">
        <v>1</v>
      </c>
      <c r="AU49" s="5" t="b">
        <v>1</v>
      </c>
      <c r="AV49" s="5" t="b">
        <v>1</v>
      </c>
      <c r="AW49" s="5" t="b">
        <v>1</v>
      </c>
      <c r="AX49" s="5" t="b">
        <v>1</v>
      </c>
      <c r="AY49" s="5" t="b">
        <v>1</v>
      </c>
      <c r="AZ49" s="5" t="b">
        <v>1</v>
      </c>
      <c r="BA49" s="5" t="b">
        <v>1</v>
      </c>
      <c r="BB49" s="5" t="b">
        <v>1</v>
      </c>
      <c r="BC49" s="5" t="b">
        <v>1</v>
      </c>
      <c r="BD49" s="5" t="b">
        <v>1</v>
      </c>
      <c r="BE49" s="5" t="b">
        <v>1</v>
      </c>
      <c r="BF49" s="5" t="b">
        <v>1</v>
      </c>
      <c r="BG49" s="5" t="b">
        <v>1</v>
      </c>
      <c r="BH49" s="5" t="b">
        <v>1</v>
      </c>
      <c r="BI49" s="5" t="b">
        <v>1</v>
      </c>
      <c r="BJ49" s="5" t="b">
        <v>1</v>
      </c>
      <c r="BK49" s="5" t="b">
        <v>1</v>
      </c>
      <c r="BL49" s="5" t="b">
        <v>1</v>
      </c>
      <c r="BM49" s="5" t="b">
        <v>1</v>
      </c>
      <c r="BN49" s="5" t="b">
        <v>1</v>
      </c>
      <c r="BO49" s="5" t="b">
        <v>1</v>
      </c>
      <c r="BP49" s="5" t="b">
        <v>1</v>
      </c>
      <c r="BQ49" s="5" t="b">
        <v>1</v>
      </c>
      <c r="BR49" s="5" t="b">
        <v>1</v>
      </c>
      <c r="BS49" s="5" t="b">
        <v>1</v>
      </c>
      <c r="BT49" s="5" t="b">
        <v>1</v>
      </c>
      <c r="BU49" s="5" t="b">
        <v>1</v>
      </c>
      <c r="BV49" s="5" t="b">
        <v>1</v>
      </c>
      <c r="BW49" s="5" t="b">
        <v>1</v>
      </c>
      <c r="BX49" s="5" t="b">
        <v>1</v>
      </c>
      <c r="BY49" s="5" t="b">
        <v>1</v>
      </c>
      <c r="BZ49" s="5" t="b">
        <v>1</v>
      </c>
      <c r="CA49" s="5" t="b">
        <v>1</v>
      </c>
      <c r="CB49" s="5" t="b">
        <v>1</v>
      </c>
      <c r="CC49" s="5" t="b">
        <v>1</v>
      </c>
      <c r="CD49" s="5" t="b">
        <v>1</v>
      </c>
      <c r="CE49" s="5" t="b">
        <v>1</v>
      </c>
      <c r="CF49" s="5" t="b">
        <v>1</v>
      </c>
      <c r="CG49" s="5" t="b">
        <v>1</v>
      </c>
      <c r="CH49" s="5" t="b">
        <v>1</v>
      </c>
      <c r="CI49" s="5" t="b">
        <v>1</v>
      </c>
      <c r="CJ49" s="5" t="b">
        <v>1</v>
      </c>
      <c r="CK49" s="5" t="b">
        <v>1</v>
      </c>
      <c r="CL49" s="5" t="b">
        <v>0</v>
      </c>
      <c r="CM49" s="5" t="b">
        <v>0</v>
      </c>
      <c r="CN49" s="5" t="b">
        <v>0</v>
      </c>
      <c r="CO49" s="5" t="b">
        <v>0</v>
      </c>
      <c r="CP49" s="5" t="b">
        <v>0</v>
      </c>
      <c r="CQ49" s="5" t="b">
        <v>0</v>
      </c>
      <c r="CR49" s="5" t="b">
        <v>1</v>
      </c>
      <c r="CS49" s="5" t="b">
        <v>1</v>
      </c>
      <c r="CT49" s="5" t="b">
        <v>1</v>
      </c>
      <c r="CU49" s="5" t="b">
        <v>1</v>
      </c>
      <c r="CV49" s="5" t="b">
        <v>1</v>
      </c>
      <c r="CW49" s="5" t="b">
        <v>1</v>
      </c>
      <c r="CX49" s="5" t="b">
        <v>1</v>
      </c>
      <c r="CY49" s="5" t="b">
        <v>1</v>
      </c>
      <c r="CZ49" s="5" t="b">
        <v>1</v>
      </c>
      <c r="DA49" s="5" t="b">
        <v>1</v>
      </c>
      <c r="DB49" s="5" t="b">
        <v>1</v>
      </c>
      <c r="DC49" s="5" t="b">
        <v>1</v>
      </c>
      <c r="DD49" s="5" t="b">
        <v>1</v>
      </c>
      <c r="DE49" s="5" t="b">
        <v>1</v>
      </c>
      <c r="DF49" s="5" t="b">
        <v>1</v>
      </c>
      <c r="DG49" s="5" t="b">
        <v>1</v>
      </c>
      <c r="DH49" s="5" t="b">
        <v>1</v>
      </c>
      <c r="DI49" s="5" t="b">
        <v>1</v>
      </c>
      <c r="DJ49" s="5" t="b">
        <v>1</v>
      </c>
      <c r="DK49" s="5" t="b">
        <v>1</v>
      </c>
    </row>
    <row r="138" spans="1:5">
      <c r="A138" s="17"/>
      <c r="B138" s="17"/>
      <c r="C138" s="17"/>
      <c r="D138" s="17"/>
      <c r="E138" s="17"/>
    </row>
    <row r="139" spans="1:5">
      <c r="A139" s="17"/>
      <c r="B139" s="17"/>
      <c r="C139" s="17"/>
      <c r="D139" s="17"/>
      <c r="E139" s="17"/>
    </row>
    <row r="140" spans="1:5">
      <c r="A140" s="17"/>
      <c r="B140" s="17"/>
      <c r="C140" s="17"/>
      <c r="D140" s="17"/>
      <c r="E140" s="17"/>
    </row>
    <row r="141" spans="1:5">
      <c r="A141" s="17"/>
      <c r="B141" s="17"/>
      <c r="C141" s="17"/>
      <c r="D141" s="17"/>
      <c r="E141" s="17"/>
    </row>
    <row r="142" spans="1:5">
      <c r="A142" s="17"/>
      <c r="B142" s="17"/>
      <c r="C142" s="17"/>
      <c r="D142" s="17"/>
      <c r="E142" s="17"/>
    </row>
    <row r="143" spans="1:5">
      <c r="A143" s="17"/>
      <c r="B143" s="17"/>
      <c r="C143" s="17"/>
      <c r="D143" s="17"/>
      <c r="E143" s="17"/>
    </row>
    <row r="144" spans="1:5">
      <c r="A144" s="17"/>
      <c r="B144" s="17"/>
      <c r="C144" s="17"/>
      <c r="D144" s="17"/>
      <c r="E144" s="17"/>
    </row>
    <row r="145" spans="1:5">
      <c r="A145" s="17"/>
      <c r="B145" s="17"/>
      <c r="C145" s="17"/>
      <c r="D145" s="17"/>
      <c r="E145" s="17"/>
    </row>
    <row r="146" spans="1:5">
      <c r="A146" s="17"/>
      <c r="B146" s="17"/>
      <c r="C146" s="17"/>
      <c r="D146" s="17"/>
      <c r="E146" s="17"/>
    </row>
    <row r="147" spans="1:5">
      <c r="A147" s="17"/>
      <c r="B147" s="17"/>
      <c r="C147" s="17"/>
      <c r="D147" s="17"/>
      <c r="E147" s="17"/>
    </row>
    <row r="148" spans="1:5">
      <c r="A148" s="17"/>
      <c r="B148" s="17"/>
      <c r="C148" s="17"/>
      <c r="D148" s="17"/>
      <c r="E148" s="17"/>
    </row>
    <row r="149" spans="1:5">
      <c r="A149" s="17"/>
      <c r="B149" s="17"/>
      <c r="C149" s="17"/>
      <c r="D149" s="17"/>
      <c r="E149" s="17"/>
    </row>
    <row r="150" spans="1:5">
      <c r="A150" s="17"/>
      <c r="B150" s="17"/>
      <c r="C150" s="17"/>
      <c r="D150" s="17"/>
      <c r="E150" s="17"/>
    </row>
    <row r="151" spans="1:5">
      <c r="A151" s="17"/>
      <c r="B151" s="17"/>
      <c r="C151" s="17"/>
      <c r="D151" s="17"/>
      <c r="E151" s="17"/>
    </row>
    <row r="152" spans="1:5">
      <c r="A152" s="17"/>
      <c r="B152" s="17"/>
      <c r="C152" s="17"/>
      <c r="D152" s="17"/>
      <c r="E152" s="17"/>
    </row>
    <row r="153" spans="1:5">
      <c r="A153" s="17"/>
      <c r="B153" s="17"/>
      <c r="C153" s="17"/>
      <c r="D153" s="17"/>
      <c r="E153" s="17"/>
    </row>
    <row r="154" spans="1:5">
      <c r="A154" s="17"/>
      <c r="B154" s="17"/>
      <c r="C154" s="17"/>
      <c r="D154" s="17"/>
      <c r="E154" s="17"/>
    </row>
    <row r="155" spans="1:5">
      <c r="A155" s="17"/>
      <c r="B155" s="17"/>
      <c r="C155" s="17"/>
      <c r="D155" s="17"/>
      <c r="E155" s="17"/>
    </row>
    <row r="156" spans="1:5">
      <c r="A156" s="17"/>
      <c r="B156" s="17"/>
      <c r="C156" s="17"/>
      <c r="D156" s="17"/>
      <c r="E156" s="17"/>
    </row>
    <row r="157" spans="1:5">
      <c r="A157" s="17"/>
      <c r="B157" s="17"/>
      <c r="C157" s="17"/>
      <c r="D157" s="17"/>
      <c r="E157" s="17"/>
    </row>
    <row r="158" spans="1:5">
      <c r="A158" s="17"/>
      <c r="B158" s="17"/>
      <c r="C158" s="17"/>
      <c r="D158" s="17"/>
      <c r="E158" s="17"/>
    </row>
    <row r="159" spans="1:5">
      <c r="A159" s="17"/>
      <c r="B159" s="17"/>
      <c r="C159" s="17"/>
      <c r="D159" s="17"/>
      <c r="E159" s="17"/>
    </row>
    <row r="160" spans="1:5">
      <c r="A160" s="17"/>
      <c r="B160" s="17"/>
      <c r="C160" s="17"/>
      <c r="D160" s="17"/>
      <c r="E160" s="17"/>
    </row>
    <row r="161" spans="1:5">
      <c r="A161" s="17"/>
      <c r="B161" s="17"/>
      <c r="C161" s="17"/>
      <c r="D161" s="17"/>
      <c r="E161" s="17"/>
    </row>
    <row r="162" spans="1:5">
      <c r="A162" s="17"/>
      <c r="B162" s="17"/>
      <c r="C162" s="17"/>
      <c r="D162" s="17"/>
      <c r="E162" s="17"/>
    </row>
    <row r="163" spans="1:5">
      <c r="A163" s="17"/>
      <c r="B163" s="17"/>
      <c r="C163" s="17"/>
      <c r="D163" s="17"/>
      <c r="E163" s="17"/>
    </row>
    <row r="164" spans="1:5">
      <c r="A164" s="17"/>
      <c r="B164" s="17"/>
      <c r="C164" s="17"/>
      <c r="D164" s="17"/>
      <c r="E164" s="17"/>
    </row>
    <row r="165" spans="1:5">
      <c r="A165" s="17"/>
      <c r="B165" s="17"/>
      <c r="C165" s="17"/>
      <c r="D165" s="17"/>
      <c r="E165" s="17"/>
    </row>
    <row r="166" spans="1:5">
      <c r="A166" s="17"/>
      <c r="B166" s="17"/>
      <c r="C166" s="17"/>
      <c r="D166" s="17"/>
      <c r="E166"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7DD49-9157-D743-8CEA-4092F4659DB6}">
  <dimension ref="A1:DK30"/>
  <sheetViews>
    <sheetView topLeftCell="CM1" workbookViewId="0">
      <selection activeCell="CP12" sqref="CP12"/>
    </sheetView>
  </sheetViews>
  <sheetFormatPr baseColWidth="10" defaultColWidth="30.83203125" defaultRowHeight="16"/>
  <cols>
    <col min="1" max="115" width="30.83203125" customWidth="1"/>
  </cols>
  <sheetData>
    <row r="1" spans="1:115">
      <c r="A1" s="35" t="s">
        <v>7</v>
      </c>
      <c r="B1" t="s">
        <v>10</v>
      </c>
      <c r="C1" t="s">
        <v>415</v>
      </c>
      <c r="D1" t="s">
        <v>13</v>
      </c>
      <c r="E1" t="s">
        <v>15</v>
      </c>
      <c r="F1" t="s">
        <v>17</v>
      </c>
      <c r="G1" t="s">
        <v>19</v>
      </c>
      <c r="H1" t="s">
        <v>19</v>
      </c>
      <c r="I1" t="s">
        <v>22</v>
      </c>
      <c r="J1" t="s">
        <v>24</v>
      </c>
      <c r="K1" t="s">
        <v>19</v>
      </c>
      <c r="L1" t="s">
        <v>19</v>
      </c>
      <c r="M1" t="s">
        <v>28</v>
      </c>
      <c r="N1" t="s">
        <v>30</v>
      </c>
      <c r="O1" t="s">
        <v>32</v>
      </c>
      <c r="P1" t="s">
        <v>416</v>
      </c>
      <c r="Q1" t="s">
        <v>416</v>
      </c>
      <c r="R1" t="s">
        <v>38</v>
      </c>
      <c r="S1" t="s">
        <v>40</v>
      </c>
      <c r="T1" t="s">
        <v>42</v>
      </c>
      <c r="U1" t="s">
        <v>44</v>
      </c>
      <c r="V1" t="s">
        <v>19</v>
      </c>
      <c r="W1" t="s">
        <v>19</v>
      </c>
      <c r="X1" t="s">
        <v>48</v>
      </c>
      <c r="Y1" t="s">
        <v>50</v>
      </c>
      <c r="Z1" t="s">
        <v>52</v>
      </c>
      <c r="AA1" t="s">
        <v>34</v>
      </c>
      <c r="AB1" t="s">
        <v>34</v>
      </c>
      <c r="AC1" t="s">
        <v>34</v>
      </c>
      <c r="AD1" t="s">
        <v>19</v>
      </c>
      <c r="AE1" t="s">
        <v>19</v>
      </c>
      <c r="AF1" t="s">
        <v>62</v>
      </c>
      <c r="AG1" t="s">
        <v>64</v>
      </c>
      <c r="AH1" t="s">
        <v>19</v>
      </c>
      <c r="AI1" t="s">
        <v>19</v>
      </c>
      <c r="AJ1" t="s">
        <v>19</v>
      </c>
      <c r="AK1" t="s">
        <v>19</v>
      </c>
      <c r="AL1" t="s">
        <v>74</v>
      </c>
      <c r="AM1" t="s">
        <v>76</v>
      </c>
      <c r="AN1" t="s">
        <v>78</v>
      </c>
      <c r="AO1" t="s">
        <v>80</v>
      </c>
      <c r="AP1" t="s">
        <v>82</v>
      </c>
      <c r="AQ1" t="s">
        <v>84</v>
      </c>
      <c r="AR1" t="s">
        <v>86</v>
      </c>
      <c r="AS1" t="s">
        <v>88</v>
      </c>
      <c r="AT1" t="s">
        <v>90</v>
      </c>
      <c r="AU1" t="s">
        <v>19</v>
      </c>
      <c r="AV1" t="s">
        <v>19</v>
      </c>
      <c r="AW1" t="s">
        <v>312</v>
      </c>
      <c r="AX1" t="s">
        <v>19</v>
      </c>
      <c r="AY1" t="s">
        <v>19</v>
      </c>
      <c r="AZ1" t="s">
        <v>19</v>
      </c>
      <c r="BA1" t="s">
        <v>19</v>
      </c>
      <c r="BB1" t="s">
        <v>19</v>
      </c>
      <c r="BC1" t="s">
        <v>417</v>
      </c>
      <c r="BD1" t="s">
        <v>418</v>
      </c>
      <c r="BE1" t="s">
        <v>419</v>
      </c>
      <c r="BF1" t="s">
        <v>420</v>
      </c>
      <c r="BG1" t="s">
        <v>82</v>
      </c>
      <c r="BH1" t="s">
        <v>313</v>
      </c>
      <c r="BI1" t="s">
        <v>86</v>
      </c>
      <c r="BJ1" t="s">
        <v>314</v>
      </c>
      <c r="BK1" t="s">
        <v>421</v>
      </c>
      <c r="BL1" t="s">
        <v>19</v>
      </c>
      <c r="BM1" t="s">
        <v>19</v>
      </c>
      <c r="BN1" t="s">
        <v>19</v>
      </c>
      <c r="BO1" t="s">
        <v>19</v>
      </c>
      <c r="BP1" t="s">
        <v>19</v>
      </c>
      <c r="BQ1" t="s">
        <v>19</v>
      </c>
      <c r="BR1" t="s">
        <v>19</v>
      </c>
      <c r="BS1" t="s">
        <v>19</v>
      </c>
      <c r="BT1" t="s">
        <v>19</v>
      </c>
      <c r="BU1" t="s">
        <v>19</v>
      </c>
      <c r="BV1" t="s">
        <v>19</v>
      </c>
      <c r="BW1" t="s">
        <v>19</v>
      </c>
      <c r="BX1" t="s">
        <v>19</v>
      </c>
      <c r="BY1" t="s">
        <v>19</v>
      </c>
      <c r="BZ1" t="s">
        <v>19</v>
      </c>
      <c r="CA1" t="s">
        <v>19</v>
      </c>
      <c r="CB1" t="s">
        <v>19</v>
      </c>
      <c r="CC1" t="s">
        <v>315</v>
      </c>
      <c r="CD1" t="s">
        <v>19</v>
      </c>
      <c r="CE1" t="s">
        <v>19</v>
      </c>
      <c r="CF1" t="s">
        <v>19</v>
      </c>
      <c r="CG1" t="s">
        <v>422</v>
      </c>
      <c r="CH1" t="s">
        <v>423</v>
      </c>
      <c r="CI1" t="s">
        <v>19</v>
      </c>
      <c r="CJ1" t="s">
        <v>424</v>
      </c>
      <c r="CK1" t="s">
        <v>316</v>
      </c>
      <c r="CL1" t="s">
        <v>34</v>
      </c>
      <c r="CM1" t="s">
        <v>34</v>
      </c>
      <c r="CN1" t="s">
        <v>34</v>
      </c>
      <c r="CO1" t="s">
        <v>34</v>
      </c>
      <c r="CP1" t="s">
        <v>34</v>
      </c>
      <c r="CQ1" t="s">
        <v>34</v>
      </c>
      <c r="CR1" t="s">
        <v>19</v>
      </c>
      <c r="CS1" t="s">
        <v>279</v>
      </c>
      <c r="CT1" t="s">
        <v>280</v>
      </c>
      <c r="CU1" t="s">
        <v>317</v>
      </c>
      <c r="CV1" t="s">
        <v>301</v>
      </c>
      <c r="CW1" t="s">
        <v>281</v>
      </c>
      <c r="CX1" t="s">
        <v>154</v>
      </c>
      <c r="CY1" t="s">
        <v>282</v>
      </c>
      <c r="CZ1" t="s">
        <v>283</v>
      </c>
      <c r="DA1" t="s">
        <v>284</v>
      </c>
      <c r="DB1" t="s">
        <v>299</v>
      </c>
      <c r="DC1" t="s">
        <v>19</v>
      </c>
      <c r="DD1" t="s">
        <v>285</v>
      </c>
      <c r="DE1" t="s">
        <v>286</v>
      </c>
      <c r="DF1" t="s">
        <v>287</v>
      </c>
      <c r="DG1" t="s">
        <v>288</v>
      </c>
      <c r="DH1" t="s">
        <v>19</v>
      </c>
      <c r="DI1" t="s">
        <v>289</v>
      </c>
      <c r="DJ1" t="s">
        <v>156</v>
      </c>
      <c r="DK1" t="s">
        <v>158</v>
      </c>
    </row>
    <row r="2" spans="1:115">
      <c r="A2" s="35" t="s">
        <v>7</v>
      </c>
      <c r="B2" t="s">
        <v>318</v>
      </c>
      <c r="C2" t="s">
        <v>425</v>
      </c>
      <c r="D2" t="s">
        <v>426</v>
      </c>
      <c r="E2" t="s">
        <v>15</v>
      </c>
      <c r="F2" t="s">
        <v>427</v>
      </c>
      <c r="G2" t="s">
        <v>19</v>
      </c>
      <c r="H2" t="s">
        <v>19</v>
      </c>
      <c r="I2" t="s">
        <v>22</v>
      </c>
      <c r="J2" t="s">
        <v>428</v>
      </c>
      <c r="K2" t="s">
        <v>19</v>
      </c>
      <c r="L2" t="s">
        <v>19</v>
      </c>
      <c r="M2" t="s">
        <v>28</v>
      </c>
      <c r="N2" t="s">
        <v>30</v>
      </c>
      <c r="O2" t="s">
        <v>319</v>
      </c>
      <c r="P2" t="s">
        <v>416</v>
      </c>
      <c r="Q2" t="s">
        <v>416</v>
      </c>
      <c r="R2" t="s">
        <v>38</v>
      </c>
      <c r="S2" t="s">
        <v>40</v>
      </c>
      <c r="T2" t="s">
        <v>320</v>
      </c>
      <c r="U2" t="s">
        <v>429</v>
      </c>
      <c r="V2" t="s">
        <v>19</v>
      </c>
      <c r="W2" t="s">
        <v>19</v>
      </c>
      <c r="X2" t="s">
        <v>19</v>
      </c>
      <c r="Y2" t="s">
        <v>19</v>
      </c>
      <c r="Z2" t="s">
        <v>19</v>
      </c>
      <c r="AA2" t="s">
        <v>34</v>
      </c>
      <c r="AB2" t="s">
        <v>34</v>
      </c>
      <c r="AC2" t="s">
        <v>34</v>
      </c>
      <c r="AD2" t="s">
        <v>19</v>
      </c>
      <c r="AE2" t="s">
        <v>19</v>
      </c>
      <c r="AF2" t="s">
        <v>321</v>
      </c>
      <c r="AG2" t="s">
        <v>19</v>
      </c>
      <c r="AH2" t="s">
        <v>19</v>
      </c>
      <c r="AI2" t="s">
        <v>19</v>
      </c>
      <c r="AJ2" t="s">
        <v>19</v>
      </c>
      <c r="AK2" t="s">
        <v>19</v>
      </c>
      <c r="AL2" t="s">
        <v>19</v>
      </c>
      <c r="AM2" t="s">
        <v>430</v>
      </c>
      <c r="AN2" t="s">
        <v>431</v>
      </c>
      <c r="AO2" t="s">
        <v>432</v>
      </c>
      <c r="AP2" t="s">
        <v>82</v>
      </c>
      <c r="AQ2" t="s">
        <v>322</v>
      </c>
      <c r="AR2" t="s">
        <v>86</v>
      </c>
      <c r="AS2" t="s">
        <v>323</v>
      </c>
      <c r="AT2" t="s">
        <v>433</v>
      </c>
      <c r="AU2" t="s">
        <v>19</v>
      </c>
      <c r="AV2" t="s">
        <v>19</v>
      </c>
      <c r="AW2" t="s">
        <v>321</v>
      </c>
      <c r="AX2" t="s">
        <v>19</v>
      </c>
      <c r="AY2" t="s">
        <v>19</v>
      </c>
      <c r="AZ2" t="s">
        <v>19</v>
      </c>
      <c r="BA2" t="s">
        <v>19</v>
      </c>
      <c r="BB2" t="s">
        <v>19</v>
      </c>
      <c r="BC2" t="s">
        <v>19</v>
      </c>
      <c r="BD2" t="s">
        <v>434</v>
      </c>
      <c r="BE2" t="s">
        <v>431</v>
      </c>
      <c r="BF2" t="s">
        <v>432</v>
      </c>
      <c r="BG2" t="s">
        <v>82</v>
      </c>
      <c r="BH2" t="s">
        <v>322</v>
      </c>
      <c r="BI2" t="s">
        <v>86</v>
      </c>
      <c r="BJ2" t="s">
        <v>324</v>
      </c>
      <c r="BK2" t="s">
        <v>435</v>
      </c>
      <c r="BL2" t="s">
        <v>19</v>
      </c>
      <c r="BM2" t="s">
        <v>19</v>
      </c>
      <c r="BN2" t="s">
        <v>321</v>
      </c>
      <c r="BO2" t="s">
        <v>19</v>
      </c>
      <c r="BP2" t="s">
        <v>19</v>
      </c>
      <c r="BQ2" t="s">
        <v>19</v>
      </c>
      <c r="BR2" t="s">
        <v>19</v>
      </c>
      <c r="BS2" t="s">
        <v>19</v>
      </c>
      <c r="BT2" t="s">
        <v>19</v>
      </c>
      <c r="BU2" t="s">
        <v>434</v>
      </c>
      <c r="BV2" t="s">
        <v>431</v>
      </c>
      <c r="BW2" t="s">
        <v>432</v>
      </c>
      <c r="BX2" t="s">
        <v>82</v>
      </c>
      <c r="BY2" t="s">
        <v>322</v>
      </c>
      <c r="BZ2" t="s">
        <v>86</v>
      </c>
      <c r="CA2" t="s">
        <v>325</v>
      </c>
      <c r="CB2" t="s">
        <v>433</v>
      </c>
      <c r="CC2" t="s">
        <v>326</v>
      </c>
      <c r="CD2" t="s">
        <v>19</v>
      </c>
      <c r="CE2" t="s">
        <v>327</v>
      </c>
      <c r="CF2" t="s">
        <v>326</v>
      </c>
      <c r="CG2" t="s">
        <v>19</v>
      </c>
      <c r="CH2" t="s">
        <v>34</v>
      </c>
      <c r="CI2" t="s">
        <v>19</v>
      </c>
      <c r="CJ2" t="s">
        <v>424</v>
      </c>
      <c r="CK2" t="s">
        <v>316</v>
      </c>
      <c r="CL2" t="s">
        <v>34</v>
      </c>
      <c r="CM2" t="s">
        <v>34</v>
      </c>
      <c r="CN2" t="s">
        <v>34</v>
      </c>
      <c r="CO2" t="s">
        <v>34</v>
      </c>
      <c r="CP2" t="s">
        <v>34</v>
      </c>
      <c r="CQ2" t="s">
        <v>34</v>
      </c>
      <c r="CR2" t="s">
        <v>19</v>
      </c>
      <c r="CS2" t="s">
        <v>279</v>
      </c>
      <c r="CT2" t="s">
        <v>280</v>
      </c>
      <c r="CU2" t="s">
        <v>328</v>
      </c>
      <c r="CV2" t="s">
        <v>436</v>
      </c>
      <c r="CW2" t="s">
        <v>281</v>
      </c>
      <c r="CX2" t="s">
        <v>154</v>
      </c>
      <c r="CY2" t="s">
        <v>282</v>
      </c>
      <c r="CZ2" t="s">
        <v>283</v>
      </c>
      <c r="DA2" t="s">
        <v>437</v>
      </c>
      <c r="DB2" t="s">
        <v>438</v>
      </c>
      <c r="DC2" t="s">
        <v>19</v>
      </c>
      <c r="DD2" t="s">
        <v>439</v>
      </c>
      <c r="DE2" t="s">
        <v>329</v>
      </c>
      <c r="DF2" t="s">
        <v>287</v>
      </c>
      <c r="DG2" t="s">
        <v>288</v>
      </c>
      <c r="DH2" t="s">
        <v>19</v>
      </c>
      <c r="DI2" t="s">
        <v>330</v>
      </c>
      <c r="DJ2" t="s">
        <v>440</v>
      </c>
      <c r="DK2" t="s">
        <v>19</v>
      </c>
    </row>
    <row r="3" spans="1:115">
      <c r="A3" s="35" t="s">
        <v>7</v>
      </c>
      <c r="B3" t="s">
        <v>331</v>
      </c>
      <c r="C3" t="s">
        <v>441</v>
      </c>
      <c r="D3" t="s">
        <v>442</v>
      </c>
      <c r="E3" t="s">
        <v>15</v>
      </c>
      <c r="F3" t="s">
        <v>443</v>
      </c>
      <c r="G3" t="s">
        <v>19</v>
      </c>
      <c r="H3" t="s">
        <v>19</v>
      </c>
      <c r="I3" t="s">
        <v>22</v>
      </c>
      <c r="J3" t="s">
        <v>444</v>
      </c>
      <c r="K3" t="s">
        <v>19</v>
      </c>
      <c r="L3" t="s">
        <v>19</v>
      </c>
      <c r="M3" t="s">
        <v>28</v>
      </c>
      <c r="N3" t="s">
        <v>30</v>
      </c>
      <c r="O3" t="s">
        <v>332</v>
      </c>
      <c r="P3" t="s">
        <v>416</v>
      </c>
      <c r="Q3" t="s">
        <v>416</v>
      </c>
      <c r="R3" t="s">
        <v>38</v>
      </c>
      <c r="S3" t="s">
        <v>40</v>
      </c>
      <c r="T3" t="s">
        <v>333</v>
      </c>
      <c r="U3" t="s">
        <v>445</v>
      </c>
      <c r="V3" t="s">
        <v>19</v>
      </c>
      <c r="W3" t="s">
        <v>19</v>
      </c>
      <c r="X3" t="s">
        <v>446</v>
      </c>
      <c r="Y3" t="s">
        <v>334</v>
      </c>
      <c r="Z3" t="s">
        <v>447</v>
      </c>
      <c r="AA3" t="s">
        <v>34</v>
      </c>
      <c r="AB3" t="s">
        <v>34</v>
      </c>
      <c r="AC3" t="s">
        <v>34</v>
      </c>
      <c r="AD3" t="s">
        <v>19</v>
      </c>
      <c r="AE3" t="s">
        <v>19</v>
      </c>
      <c r="AF3" t="s">
        <v>335</v>
      </c>
      <c r="AG3" t="s">
        <v>19</v>
      </c>
      <c r="AH3" t="s">
        <v>19</v>
      </c>
      <c r="AI3" t="s">
        <v>448</v>
      </c>
      <c r="AJ3" t="s">
        <v>19</v>
      </c>
      <c r="AK3" t="s">
        <v>336</v>
      </c>
      <c r="AL3" t="s">
        <v>19</v>
      </c>
      <c r="AM3" t="s">
        <v>449</v>
      </c>
      <c r="AN3" t="s">
        <v>450</v>
      </c>
      <c r="AO3" t="s">
        <v>451</v>
      </c>
      <c r="AP3" t="s">
        <v>82</v>
      </c>
      <c r="AQ3" t="s">
        <v>337</v>
      </c>
      <c r="AR3" t="s">
        <v>86</v>
      </c>
      <c r="AS3" t="s">
        <v>338</v>
      </c>
      <c r="AT3" t="s">
        <v>452</v>
      </c>
      <c r="AU3" t="s">
        <v>19</v>
      </c>
      <c r="AV3" t="s">
        <v>19</v>
      </c>
      <c r="AW3" t="s">
        <v>335</v>
      </c>
      <c r="AX3" t="s">
        <v>19</v>
      </c>
      <c r="AY3" t="s">
        <v>19</v>
      </c>
      <c r="AZ3" t="s">
        <v>448</v>
      </c>
      <c r="BA3" t="s">
        <v>19</v>
      </c>
      <c r="BB3" t="s">
        <v>336</v>
      </c>
      <c r="BC3" t="s">
        <v>19</v>
      </c>
      <c r="BD3" t="s">
        <v>449</v>
      </c>
      <c r="BE3" t="s">
        <v>450</v>
      </c>
      <c r="BF3" t="s">
        <v>451</v>
      </c>
      <c r="BG3" t="s">
        <v>82</v>
      </c>
      <c r="BH3" t="s">
        <v>337</v>
      </c>
      <c r="BI3" t="s">
        <v>86</v>
      </c>
      <c r="BJ3" t="s">
        <v>338</v>
      </c>
      <c r="BK3" t="s">
        <v>452</v>
      </c>
      <c r="BL3" t="s">
        <v>19</v>
      </c>
      <c r="BM3" t="s">
        <v>19</v>
      </c>
      <c r="BN3" t="s">
        <v>19</v>
      </c>
      <c r="BO3" t="s">
        <v>19</v>
      </c>
      <c r="BP3" t="s">
        <v>19</v>
      </c>
      <c r="BQ3" t="s">
        <v>19</v>
      </c>
      <c r="BR3" t="s">
        <v>19</v>
      </c>
      <c r="BS3" t="s">
        <v>19</v>
      </c>
      <c r="BT3" t="s">
        <v>19</v>
      </c>
      <c r="BU3" t="s">
        <v>19</v>
      </c>
      <c r="BV3" t="s">
        <v>19</v>
      </c>
      <c r="BW3" t="s">
        <v>19</v>
      </c>
      <c r="BX3" t="s">
        <v>19</v>
      </c>
      <c r="BY3" t="s">
        <v>19</v>
      </c>
      <c r="BZ3" t="s">
        <v>19</v>
      </c>
      <c r="CA3" t="s">
        <v>19</v>
      </c>
      <c r="CB3" t="s">
        <v>19</v>
      </c>
      <c r="CC3" t="s">
        <v>339</v>
      </c>
      <c r="CD3" t="s">
        <v>19</v>
      </c>
      <c r="CE3" t="s">
        <v>19</v>
      </c>
      <c r="CF3" t="s">
        <v>19</v>
      </c>
      <c r="CG3" t="s">
        <v>19</v>
      </c>
      <c r="CH3" t="s">
        <v>34</v>
      </c>
      <c r="CI3" t="s">
        <v>19</v>
      </c>
      <c r="CJ3" t="s">
        <v>424</v>
      </c>
      <c r="CK3" t="s">
        <v>316</v>
      </c>
      <c r="CL3" t="s">
        <v>34</v>
      </c>
      <c r="CM3" t="s">
        <v>34</v>
      </c>
      <c r="CN3" t="s">
        <v>34</v>
      </c>
      <c r="CO3" t="s">
        <v>34</v>
      </c>
      <c r="CP3" t="s">
        <v>34</v>
      </c>
      <c r="CQ3" t="s">
        <v>34</v>
      </c>
      <c r="CR3" t="s">
        <v>19</v>
      </c>
      <c r="CS3" t="s">
        <v>279</v>
      </c>
      <c r="CT3" t="s">
        <v>280</v>
      </c>
      <c r="CU3" t="s">
        <v>340</v>
      </c>
      <c r="CV3" t="s">
        <v>453</v>
      </c>
      <c r="CW3" t="s">
        <v>281</v>
      </c>
      <c r="CX3" t="s">
        <v>154</v>
      </c>
      <c r="CY3" t="s">
        <v>282</v>
      </c>
      <c r="CZ3" t="s">
        <v>283</v>
      </c>
      <c r="DA3" t="s">
        <v>454</v>
      </c>
      <c r="DB3" t="s">
        <v>299</v>
      </c>
      <c r="DC3" t="s">
        <v>19</v>
      </c>
      <c r="DD3" t="s">
        <v>439</v>
      </c>
      <c r="DE3" t="s">
        <v>341</v>
      </c>
      <c r="DF3" t="s">
        <v>287</v>
      </c>
      <c r="DG3" t="s">
        <v>288</v>
      </c>
      <c r="DH3" t="s">
        <v>19</v>
      </c>
      <c r="DI3" t="s">
        <v>342</v>
      </c>
      <c r="DJ3" t="s">
        <v>156</v>
      </c>
      <c r="DK3" t="s">
        <v>343</v>
      </c>
    </row>
    <row r="4" spans="1:115">
      <c r="A4" s="35" t="s">
        <v>7</v>
      </c>
      <c r="B4" t="s">
        <v>344</v>
      </c>
      <c r="C4" t="s">
        <v>455</v>
      </c>
      <c r="D4" t="s">
        <v>456</v>
      </c>
      <c r="E4" t="s">
        <v>457</v>
      </c>
      <c r="F4" t="s">
        <v>458</v>
      </c>
      <c r="G4" t="s">
        <v>19</v>
      </c>
      <c r="H4" t="s">
        <v>19</v>
      </c>
      <c r="I4" t="s">
        <v>459</v>
      </c>
      <c r="J4" t="s">
        <v>460</v>
      </c>
      <c r="K4" t="s">
        <v>19</v>
      </c>
      <c r="L4" t="s">
        <v>19</v>
      </c>
      <c r="M4" t="s">
        <v>28</v>
      </c>
      <c r="N4" t="s">
        <v>30</v>
      </c>
      <c r="O4" t="s">
        <v>345</v>
      </c>
      <c r="P4" t="s">
        <v>416</v>
      </c>
      <c r="Q4" t="s">
        <v>416</v>
      </c>
      <c r="R4" t="s">
        <v>346</v>
      </c>
      <c r="S4" t="s">
        <v>461</v>
      </c>
      <c r="T4" t="s">
        <v>347</v>
      </c>
      <c r="U4" t="s">
        <v>462</v>
      </c>
      <c r="V4" t="s">
        <v>19</v>
      </c>
      <c r="W4" t="s">
        <v>19</v>
      </c>
      <c r="X4" t="s">
        <v>19</v>
      </c>
      <c r="Y4" t="s">
        <v>19</v>
      </c>
      <c r="Z4" t="s">
        <v>19</v>
      </c>
      <c r="AA4" t="s">
        <v>34</v>
      </c>
      <c r="AB4" t="s">
        <v>34</v>
      </c>
      <c r="AC4" t="s">
        <v>34</v>
      </c>
      <c r="AD4" t="s">
        <v>19</v>
      </c>
      <c r="AE4" t="s">
        <v>19</v>
      </c>
      <c r="AF4" t="s">
        <v>348</v>
      </c>
      <c r="AG4" t="s">
        <v>19</v>
      </c>
      <c r="AH4" t="s">
        <v>19</v>
      </c>
      <c r="AI4" t="s">
        <v>463</v>
      </c>
      <c r="AJ4" t="s">
        <v>19</v>
      </c>
      <c r="AK4" t="s">
        <v>28</v>
      </c>
      <c r="AL4" t="s">
        <v>19</v>
      </c>
      <c r="AM4" t="s">
        <v>464</v>
      </c>
      <c r="AN4" t="s">
        <v>465</v>
      </c>
      <c r="AO4" t="s">
        <v>466</v>
      </c>
      <c r="AP4" t="s">
        <v>82</v>
      </c>
      <c r="AQ4" t="s">
        <v>349</v>
      </c>
      <c r="AR4" t="s">
        <v>86</v>
      </c>
      <c r="AS4" t="s">
        <v>350</v>
      </c>
      <c r="AT4" t="s">
        <v>467</v>
      </c>
      <c r="AU4" t="s">
        <v>19</v>
      </c>
      <c r="AV4" t="s">
        <v>19</v>
      </c>
      <c r="AW4" t="s">
        <v>348</v>
      </c>
      <c r="AX4" t="s">
        <v>19</v>
      </c>
      <c r="AY4" t="s">
        <v>19</v>
      </c>
      <c r="AZ4" t="s">
        <v>468</v>
      </c>
      <c r="BA4" t="s">
        <v>19</v>
      </c>
      <c r="BB4" t="s">
        <v>351</v>
      </c>
      <c r="BC4" t="s">
        <v>19</v>
      </c>
      <c r="BD4" t="s">
        <v>464</v>
      </c>
      <c r="BE4" t="s">
        <v>465</v>
      </c>
      <c r="BF4" t="s">
        <v>466</v>
      </c>
      <c r="BG4" t="s">
        <v>82</v>
      </c>
      <c r="BH4" t="s">
        <v>349</v>
      </c>
      <c r="BI4" t="s">
        <v>86</v>
      </c>
      <c r="BJ4" t="s">
        <v>352</v>
      </c>
      <c r="BK4" t="s">
        <v>469</v>
      </c>
      <c r="BL4" t="s">
        <v>19</v>
      </c>
      <c r="BM4" t="s">
        <v>19</v>
      </c>
      <c r="BN4" t="s">
        <v>19</v>
      </c>
      <c r="BO4" t="s">
        <v>19</v>
      </c>
      <c r="BP4" t="s">
        <v>19</v>
      </c>
      <c r="BQ4" t="s">
        <v>19</v>
      </c>
      <c r="BR4" t="s">
        <v>19</v>
      </c>
      <c r="BS4" t="s">
        <v>19</v>
      </c>
      <c r="BT4" t="s">
        <v>19</v>
      </c>
      <c r="BU4" t="s">
        <v>19</v>
      </c>
      <c r="BV4" t="s">
        <v>19</v>
      </c>
      <c r="BW4" t="s">
        <v>19</v>
      </c>
      <c r="BX4" t="s">
        <v>19</v>
      </c>
      <c r="BY4" t="s">
        <v>19</v>
      </c>
      <c r="BZ4" t="s">
        <v>19</v>
      </c>
      <c r="CA4" t="s">
        <v>19</v>
      </c>
      <c r="CB4" t="s">
        <v>19</v>
      </c>
      <c r="CC4" t="s">
        <v>353</v>
      </c>
      <c r="CD4" t="s">
        <v>19</v>
      </c>
      <c r="CE4" t="s">
        <v>354</v>
      </c>
      <c r="CF4" t="s">
        <v>19</v>
      </c>
      <c r="CG4" t="s">
        <v>19</v>
      </c>
      <c r="CH4" t="s">
        <v>34</v>
      </c>
      <c r="CI4" t="s">
        <v>19</v>
      </c>
      <c r="CJ4" t="s">
        <v>424</v>
      </c>
      <c r="CK4" t="s">
        <v>316</v>
      </c>
      <c r="CL4" t="s">
        <v>34</v>
      </c>
      <c r="CM4" t="s">
        <v>34</v>
      </c>
      <c r="CN4" t="s">
        <v>34</v>
      </c>
      <c r="CO4" t="s">
        <v>34</v>
      </c>
      <c r="CP4" t="s">
        <v>34</v>
      </c>
      <c r="CQ4" t="s">
        <v>34</v>
      </c>
      <c r="CR4" t="s">
        <v>19</v>
      </c>
      <c r="CS4" t="s">
        <v>279</v>
      </c>
      <c r="CT4" t="s">
        <v>280</v>
      </c>
      <c r="CU4" t="s">
        <v>340</v>
      </c>
      <c r="CV4" t="s">
        <v>453</v>
      </c>
      <c r="CW4" t="s">
        <v>281</v>
      </c>
      <c r="CX4" t="s">
        <v>154</v>
      </c>
      <c r="CY4" t="s">
        <v>282</v>
      </c>
      <c r="CZ4" t="s">
        <v>283</v>
      </c>
      <c r="DA4" t="s">
        <v>470</v>
      </c>
      <c r="DB4" t="s">
        <v>471</v>
      </c>
      <c r="DC4" t="s">
        <v>19</v>
      </c>
      <c r="DD4" t="s">
        <v>439</v>
      </c>
      <c r="DE4" t="s">
        <v>355</v>
      </c>
      <c r="DF4" t="s">
        <v>287</v>
      </c>
      <c r="DG4" t="s">
        <v>288</v>
      </c>
      <c r="DH4" t="s">
        <v>19</v>
      </c>
      <c r="DI4" t="s">
        <v>356</v>
      </c>
      <c r="DJ4" t="s">
        <v>440</v>
      </c>
      <c r="DK4" t="s">
        <v>19</v>
      </c>
    </row>
    <row r="5" spans="1:115">
      <c r="A5" s="35" t="s">
        <v>7</v>
      </c>
      <c r="B5" t="s">
        <v>357</v>
      </c>
      <c r="C5" t="s">
        <v>472</v>
      </c>
      <c r="D5" t="s">
        <v>473</v>
      </c>
      <c r="E5" t="s">
        <v>15</v>
      </c>
      <c r="F5" t="s">
        <v>474</v>
      </c>
      <c r="G5" t="s">
        <v>19</v>
      </c>
      <c r="H5" t="s">
        <v>19</v>
      </c>
      <c r="I5" t="s">
        <v>22</v>
      </c>
      <c r="J5" t="s">
        <v>475</v>
      </c>
      <c r="K5" t="s">
        <v>19</v>
      </c>
      <c r="L5" t="s">
        <v>19</v>
      </c>
      <c r="M5" t="s">
        <v>28</v>
      </c>
      <c r="N5" t="s">
        <v>30</v>
      </c>
      <c r="O5" t="s">
        <v>358</v>
      </c>
      <c r="P5" t="s">
        <v>416</v>
      </c>
      <c r="Q5" t="s">
        <v>416</v>
      </c>
      <c r="R5" t="s">
        <v>38</v>
      </c>
      <c r="S5" t="s">
        <v>40</v>
      </c>
      <c r="T5" t="s">
        <v>19</v>
      </c>
      <c r="U5" t="s">
        <v>19</v>
      </c>
      <c r="V5" t="s">
        <v>19</v>
      </c>
      <c r="W5" t="s">
        <v>19</v>
      </c>
      <c r="X5" t="s">
        <v>476</v>
      </c>
      <c r="Y5" t="s">
        <v>359</v>
      </c>
      <c r="Z5" t="s">
        <v>477</v>
      </c>
      <c r="AA5" t="s">
        <v>34</v>
      </c>
      <c r="AB5" t="s">
        <v>34</v>
      </c>
      <c r="AC5" t="s">
        <v>34</v>
      </c>
      <c r="AD5" t="s">
        <v>19</v>
      </c>
      <c r="AE5" t="s">
        <v>19</v>
      </c>
      <c r="AF5" t="s">
        <v>336</v>
      </c>
      <c r="AG5" t="s">
        <v>360</v>
      </c>
      <c r="AH5" t="s">
        <v>19</v>
      </c>
      <c r="AI5" t="s">
        <v>19</v>
      </c>
      <c r="AJ5" t="s">
        <v>19</v>
      </c>
      <c r="AK5" t="s">
        <v>19</v>
      </c>
      <c r="AL5" t="s">
        <v>19</v>
      </c>
      <c r="AM5" t="s">
        <v>478</v>
      </c>
      <c r="AN5" t="s">
        <v>479</v>
      </c>
      <c r="AO5" t="s">
        <v>480</v>
      </c>
      <c r="AP5" t="s">
        <v>481</v>
      </c>
      <c r="AQ5" t="s">
        <v>361</v>
      </c>
      <c r="AR5" t="s">
        <v>86</v>
      </c>
      <c r="AS5" t="s">
        <v>362</v>
      </c>
      <c r="AT5" t="s">
        <v>482</v>
      </c>
      <c r="AU5" t="s">
        <v>19</v>
      </c>
      <c r="AV5" t="s">
        <v>19</v>
      </c>
      <c r="AW5" t="s">
        <v>336</v>
      </c>
      <c r="AX5" t="s">
        <v>360</v>
      </c>
      <c r="AY5" t="s">
        <v>19</v>
      </c>
      <c r="AZ5" t="s">
        <v>19</v>
      </c>
      <c r="BA5" t="s">
        <v>19</v>
      </c>
      <c r="BB5" t="s">
        <v>19</v>
      </c>
      <c r="BC5" t="s">
        <v>19</v>
      </c>
      <c r="BD5" t="s">
        <v>478</v>
      </c>
      <c r="BE5" t="s">
        <v>479</v>
      </c>
      <c r="BF5" t="s">
        <v>480</v>
      </c>
      <c r="BG5" t="s">
        <v>481</v>
      </c>
      <c r="BH5" t="s">
        <v>361</v>
      </c>
      <c r="BI5" t="s">
        <v>86</v>
      </c>
      <c r="BJ5" t="s">
        <v>362</v>
      </c>
      <c r="BK5" t="s">
        <v>482</v>
      </c>
      <c r="BL5" t="s">
        <v>19</v>
      </c>
      <c r="BM5" t="s">
        <v>19</v>
      </c>
      <c r="BN5" t="s">
        <v>19</v>
      </c>
      <c r="BO5" t="s">
        <v>19</v>
      </c>
      <c r="BP5" t="s">
        <v>19</v>
      </c>
      <c r="BQ5" t="s">
        <v>19</v>
      </c>
      <c r="BR5" t="s">
        <v>19</v>
      </c>
      <c r="BS5" t="s">
        <v>19</v>
      </c>
      <c r="BT5" t="s">
        <v>19</v>
      </c>
      <c r="BU5" t="s">
        <v>19</v>
      </c>
      <c r="BV5" t="s">
        <v>19</v>
      </c>
      <c r="BW5" t="s">
        <v>19</v>
      </c>
      <c r="BX5" t="s">
        <v>19</v>
      </c>
      <c r="BY5" t="s">
        <v>19</v>
      </c>
      <c r="BZ5" t="s">
        <v>19</v>
      </c>
      <c r="CA5" t="s">
        <v>19</v>
      </c>
      <c r="CB5" t="s">
        <v>19</v>
      </c>
      <c r="CC5" t="s">
        <v>363</v>
      </c>
      <c r="CD5" t="s">
        <v>364</v>
      </c>
      <c r="CE5" t="s">
        <v>19</v>
      </c>
      <c r="CF5" t="s">
        <v>19</v>
      </c>
      <c r="CG5" t="s">
        <v>19</v>
      </c>
      <c r="CH5" t="s">
        <v>34</v>
      </c>
      <c r="CI5" t="s">
        <v>19</v>
      </c>
      <c r="CJ5" t="s">
        <v>424</v>
      </c>
      <c r="CK5" t="s">
        <v>316</v>
      </c>
      <c r="CL5" t="s">
        <v>34</v>
      </c>
      <c r="CM5" t="s">
        <v>34</v>
      </c>
      <c r="CN5" t="s">
        <v>34</v>
      </c>
      <c r="CO5" t="s">
        <v>34</v>
      </c>
      <c r="CP5" t="s">
        <v>34</v>
      </c>
      <c r="CQ5" t="s">
        <v>34</v>
      </c>
      <c r="CR5" t="s">
        <v>19</v>
      </c>
      <c r="CS5" t="s">
        <v>279</v>
      </c>
      <c r="CT5" t="s">
        <v>280</v>
      </c>
      <c r="CU5" t="s">
        <v>365</v>
      </c>
      <c r="CV5" t="s">
        <v>453</v>
      </c>
      <c r="CW5" t="s">
        <v>281</v>
      </c>
      <c r="CX5" t="s">
        <v>154</v>
      </c>
      <c r="CY5" t="s">
        <v>282</v>
      </c>
      <c r="CZ5" t="s">
        <v>283</v>
      </c>
      <c r="DA5" t="s">
        <v>483</v>
      </c>
      <c r="DB5" t="s">
        <v>299</v>
      </c>
      <c r="DC5" t="s">
        <v>19</v>
      </c>
      <c r="DD5" t="s">
        <v>439</v>
      </c>
      <c r="DE5" t="s">
        <v>366</v>
      </c>
      <c r="DF5" t="s">
        <v>287</v>
      </c>
      <c r="DG5" t="s">
        <v>484</v>
      </c>
      <c r="DH5" t="s">
        <v>19</v>
      </c>
      <c r="DI5" t="s">
        <v>367</v>
      </c>
      <c r="DJ5" t="s">
        <v>19</v>
      </c>
      <c r="DK5" t="s">
        <v>368</v>
      </c>
    </row>
    <row r="6" spans="1:115">
      <c r="A6" s="35" t="s">
        <v>7</v>
      </c>
      <c r="B6" t="s">
        <v>369</v>
      </c>
      <c r="C6" t="s">
        <v>485</v>
      </c>
      <c r="D6" t="s">
        <v>486</v>
      </c>
      <c r="E6" t="s">
        <v>15</v>
      </c>
      <c r="F6" t="s">
        <v>487</v>
      </c>
      <c r="G6" t="s">
        <v>19</v>
      </c>
      <c r="H6" t="s">
        <v>19</v>
      </c>
      <c r="I6" t="s">
        <v>22</v>
      </c>
      <c r="J6" t="s">
        <v>488</v>
      </c>
      <c r="K6" t="s">
        <v>19</v>
      </c>
      <c r="L6" t="s">
        <v>19</v>
      </c>
      <c r="M6" t="s">
        <v>370</v>
      </c>
      <c r="N6" t="s">
        <v>30</v>
      </c>
      <c r="O6" t="s">
        <v>371</v>
      </c>
      <c r="P6" t="s">
        <v>416</v>
      </c>
      <c r="Q6" t="s">
        <v>416</v>
      </c>
      <c r="R6" t="s">
        <v>38</v>
      </c>
      <c r="S6" t="s">
        <v>40</v>
      </c>
      <c r="T6" t="s">
        <v>372</v>
      </c>
      <c r="U6" t="s">
        <v>489</v>
      </c>
      <c r="V6" t="s">
        <v>19</v>
      </c>
      <c r="W6" t="s">
        <v>19</v>
      </c>
      <c r="X6" t="s">
        <v>490</v>
      </c>
      <c r="Y6" t="s">
        <v>373</v>
      </c>
      <c r="Z6" t="s">
        <v>491</v>
      </c>
      <c r="AA6" t="s">
        <v>34</v>
      </c>
      <c r="AB6" t="s">
        <v>34</v>
      </c>
      <c r="AC6" t="s">
        <v>34</v>
      </c>
      <c r="AD6" t="s">
        <v>19</v>
      </c>
      <c r="AE6" t="s">
        <v>19</v>
      </c>
      <c r="AF6" t="s">
        <v>374</v>
      </c>
      <c r="AG6" t="s">
        <v>19</v>
      </c>
      <c r="AH6" t="s">
        <v>19</v>
      </c>
      <c r="AI6" t="s">
        <v>19</v>
      </c>
      <c r="AJ6" t="s">
        <v>19</v>
      </c>
      <c r="AK6" t="s">
        <v>19</v>
      </c>
      <c r="AL6" t="s">
        <v>19</v>
      </c>
      <c r="AM6" t="s">
        <v>492</v>
      </c>
      <c r="AN6" t="s">
        <v>493</v>
      </c>
      <c r="AO6" t="s">
        <v>494</v>
      </c>
      <c r="AP6" t="s">
        <v>82</v>
      </c>
      <c r="AQ6" t="s">
        <v>349</v>
      </c>
      <c r="AR6" t="s">
        <v>86</v>
      </c>
      <c r="AS6" t="s">
        <v>375</v>
      </c>
      <c r="AT6" t="s">
        <v>495</v>
      </c>
      <c r="AU6" t="s">
        <v>19</v>
      </c>
      <c r="AV6" t="s">
        <v>19</v>
      </c>
      <c r="AW6" t="s">
        <v>374</v>
      </c>
      <c r="AX6" t="s">
        <v>19</v>
      </c>
      <c r="AY6" t="s">
        <v>19</v>
      </c>
      <c r="AZ6" t="s">
        <v>19</v>
      </c>
      <c r="BA6" t="s">
        <v>19</v>
      </c>
      <c r="BB6" t="s">
        <v>19</v>
      </c>
      <c r="BC6" t="s">
        <v>19</v>
      </c>
      <c r="BD6" t="s">
        <v>492</v>
      </c>
      <c r="BE6" t="s">
        <v>493</v>
      </c>
      <c r="BF6" t="s">
        <v>494</v>
      </c>
      <c r="BG6" t="s">
        <v>82</v>
      </c>
      <c r="BH6" t="s">
        <v>349</v>
      </c>
      <c r="BI6" t="s">
        <v>86</v>
      </c>
      <c r="BJ6" t="s">
        <v>375</v>
      </c>
      <c r="BK6" t="s">
        <v>495</v>
      </c>
      <c r="BL6" t="s">
        <v>19</v>
      </c>
      <c r="BM6" t="s">
        <v>19</v>
      </c>
      <c r="BN6" t="s">
        <v>374</v>
      </c>
      <c r="BO6" t="s">
        <v>19</v>
      </c>
      <c r="BP6" t="s">
        <v>19</v>
      </c>
      <c r="BQ6" t="s">
        <v>19</v>
      </c>
      <c r="BR6" t="s">
        <v>19</v>
      </c>
      <c r="BS6" t="s">
        <v>19</v>
      </c>
      <c r="BT6" t="s">
        <v>19</v>
      </c>
      <c r="BU6" t="s">
        <v>492</v>
      </c>
      <c r="BV6" t="s">
        <v>493</v>
      </c>
      <c r="BW6" t="s">
        <v>494</v>
      </c>
      <c r="BX6" t="s">
        <v>82</v>
      </c>
      <c r="BY6" t="s">
        <v>349</v>
      </c>
      <c r="BZ6" t="s">
        <v>86</v>
      </c>
      <c r="CA6" t="s">
        <v>375</v>
      </c>
      <c r="CB6" t="s">
        <v>495</v>
      </c>
      <c r="CC6" t="s">
        <v>376</v>
      </c>
      <c r="CD6" t="s">
        <v>19</v>
      </c>
      <c r="CE6" t="s">
        <v>19</v>
      </c>
      <c r="CF6" t="s">
        <v>19</v>
      </c>
      <c r="CG6" t="s">
        <v>19</v>
      </c>
      <c r="CH6" t="s">
        <v>34</v>
      </c>
      <c r="CI6" t="s">
        <v>19</v>
      </c>
      <c r="CJ6" t="s">
        <v>424</v>
      </c>
      <c r="CK6" t="s">
        <v>316</v>
      </c>
      <c r="CL6" t="s">
        <v>34</v>
      </c>
      <c r="CM6" t="s">
        <v>34</v>
      </c>
      <c r="CN6" t="s">
        <v>34</v>
      </c>
      <c r="CO6" t="s">
        <v>34</v>
      </c>
      <c r="CP6" t="s">
        <v>34</v>
      </c>
      <c r="CQ6" t="s">
        <v>34</v>
      </c>
      <c r="CR6" t="s">
        <v>19</v>
      </c>
      <c r="CS6" t="s">
        <v>279</v>
      </c>
      <c r="CT6" t="s">
        <v>280</v>
      </c>
      <c r="CU6" t="s">
        <v>317</v>
      </c>
      <c r="CV6" t="s">
        <v>453</v>
      </c>
      <c r="CW6" t="s">
        <v>281</v>
      </c>
      <c r="CX6" t="s">
        <v>154</v>
      </c>
      <c r="CY6" t="s">
        <v>282</v>
      </c>
      <c r="CZ6" t="s">
        <v>283</v>
      </c>
      <c r="DA6" t="s">
        <v>496</v>
      </c>
      <c r="DB6" t="s">
        <v>497</v>
      </c>
      <c r="DC6" t="s">
        <v>19</v>
      </c>
      <c r="DD6" t="s">
        <v>439</v>
      </c>
      <c r="DE6" t="s">
        <v>377</v>
      </c>
      <c r="DF6" t="s">
        <v>287</v>
      </c>
      <c r="DG6" t="s">
        <v>288</v>
      </c>
      <c r="DH6" t="s">
        <v>498</v>
      </c>
      <c r="DI6" t="s">
        <v>378</v>
      </c>
      <c r="DJ6" t="s">
        <v>440</v>
      </c>
      <c r="DK6" t="s">
        <v>379</v>
      </c>
    </row>
    <row r="7" spans="1:115">
      <c r="A7" s="35" t="s">
        <v>7</v>
      </c>
      <c r="B7" t="s">
        <v>380</v>
      </c>
      <c r="C7" t="s">
        <v>499</v>
      </c>
      <c r="D7" t="s">
        <v>500</v>
      </c>
      <c r="E7" t="s">
        <v>457</v>
      </c>
      <c r="F7" t="s">
        <v>501</v>
      </c>
      <c r="G7" t="s">
        <v>19</v>
      </c>
      <c r="H7" t="s">
        <v>19</v>
      </c>
      <c r="I7" t="s">
        <v>459</v>
      </c>
      <c r="J7" t="s">
        <v>502</v>
      </c>
      <c r="K7" t="s">
        <v>19</v>
      </c>
      <c r="L7" t="s">
        <v>19</v>
      </c>
      <c r="M7" t="s">
        <v>360</v>
      </c>
      <c r="N7" t="s">
        <v>30</v>
      </c>
      <c r="O7" t="s">
        <v>381</v>
      </c>
      <c r="P7" t="s">
        <v>416</v>
      </c>
      <c r="Q7" t="s">
        <v>416</v>
      </c>
      <c r="R7" t="s">
        <v>346</v>
      </c>
      <c r="S7" t="s">
        <v>461</v>
      </c>
      <c r="T7" t="s">
        <v>382</v>
      </c>
      <c r="U7" t="s">
        <v>503</v>
      </c>
      <c r="V7" t="s">
        <v>19</v>
      </c>
      <c r="W7" t="s">
        <v>19</v>
      </c>
      <c r="X7" t="s">
        <v>19</v>
      </c>
      <c r="Y7" t="s">
        <v>19</v>
      </c>
      <c r="Z7" t="s">
        <v>19</v>
      </c>
      <c r="AA7" t="s">
        <v>34</v>
      </c>
      <c r="AB7" t="s">
        <v>34</v>
      </c>
      <c r="AC7" t="s">
        <v>34</v>
      </c>
      <c r="AD7" t="s">
        <v>19</v>
      </c>
      <c r="AE7" t="s">
        <v>19</v>
      </c>
      <c r="AF7" t="s">
        <v>383</v>
      </c>
      <c r="AG7" t="s">
        <v>28</v>
      </c>
      <c r="AH7" t="s">
        <v>19</v>
      </c>
      <c r="AI7" t="s">
        <v>19</v>
      </c>
      <c r="AJ7" t="s">
        <v>19</v>
      </c>
      <c r="AK7" t="s">
        <v>19</v>
      </c>
      <c r="AL7" t="s">
        <v>19</v>
      </c>
      <c r="AM7" t="s">
        <v>504</v>
      </c>
      <c r="AN7" t="s">
        <v>505</v>
      </c>
      <c r="AO7" t="s">
        <v>506</v>
      </c>
      <c r="AP7" t="s">
        <v>507</v>
      </c>
      <c r="AQ7" t="s">
        <v>384</v>
      </c>
      <c r="AR7" t="s">
        <v>86</v>
      </c>
      <c r="AS7" t="s">
        <v>385</v>
      </c>
      <c r="AT7" t="s">
        <v>508</v>
      </c>
      <c r="AU7" t="s">
        <v>19</v>
      </c>
      <c r="AV7" t="s">
        <v>19</v>
      </c>
      <c r="AW7" t="s">
        <v>383</v>
      </c>
      <c r="AX7" t="s">
        <v>28</v>
      </c>
      <c r="AY7" t="s">
        <v>19</v>
      </c>
      <c r="AZ7" t="s">
        <v>19</v>
      </c>
      <c r="BA7" t="s">
        <v>19</v>
      </c>
      <c r="BB7" t="s">
        <v>19</v>
      </c>
      <c r="BC7" t="s">
        <v>19</v>
      </c>
      <c r="BD7" t="s">
        <v>504</v>
      </c>
      <c r="BE7" t="s">
        <v>505</v>
      </c>
      <c r="BF7" t="s">
        <v>506</v>
      </c>
      <c r="BG7" t="s">
        <v>507</v>
      </c>
      <c r="BH7" t="s">
        <v>384</v>
      </c>
      <c r="BI7" t="s">
        <v>86</v>
      </c>
      <c r="BJ7" t="s">
        <v>385</v>
      </c>
      <c r="BK7" t="s">
        <v>508</v>
      </c>
      <c r="BL7" t="s">
        <v>19</v>
      </c>
      <c r="BM7" t="s">
        <v>19</v>
      </c>
      <c r="BN7" t="s">
        <v>383</v>
      </c>
      <c r="BO7" t="s">
        <v>28</v>
      </c>
      <c r="BP7" t="s">
        <v>19</v>
      </c>
      <c r="BQ7" t="s">
        <v>19</v>
      </c>
      <c r="BR7" t="s">
        <v>19</v>
      </c>
      <c r="BS7" t="s">
        <v>19</v>
      </c>
      <c r="BT7" t="s">
        <v>19</v>
      </c>
      <c r="BU7" t="s">
        <v>504</v>
      </c>
      <c r="BV7" t="s">
        <v>505</v>
      </c>
      <c r="BW7" t="s">
        <v>506</v>
      </c>
      <c r="BX7" t="s">
        <v>507</v>
      </c>
      <c r="BY7" t="s">
        <v>384</v>
      </c>
      <c r="BZ7" t="s">
        <v>86</v>
      </c>
      <c r="CA7" t="s">
        <v>385</v>
      </c>
      <c r="CB7" t="s">
        <v>508</v>
      </c>
      <c r="CC7" t="s">
        <v>386</v>
      </c>
      <c r="CD7" t="s">
        <v>19</v>
      </c>
      <c r="CE7" t="s">
        <v>19</v>
      </c>
      <c r="CF7" t="s">
        <v>19</v>
      </c>
      <c r="CG7" t="s">
        <v>19</v>
      </c>
      <c r="CH7" t="s">
        <v>34</v>
      </c>
      <c r="CI7" t="s">
        <v>19</v>
      </c>
      <c r="CJ7" t="s">
        <v>424</v>
      </c>
      <c r="CK7" t="s">
        <v>316</v>
      </c>
      <c r="CL7" t="s">
        <v>34</v>
      </c>
      <c r="CM7" t="s">
        <v>34</v>
      </c>
      <c r="CN7" t="s">
        <v>34</v>
      </c>
      <c r="CO7" t="s">
        <v>34</v>
      </c>
      <c r="CP7" t="s">
        <v>34</v>
      </c>
      <c r="CQ7" t="s">
        <v>34</v>
      </c>
      <c r="CR7" t="s">
        <v>19</v>
      </c>
      <c r="CS7" t="s">
        <v>279</v>
      </c>
      <c r="CT7" t="s">
        <v>280</v>
      </c>
      <c r="CU7" t="s">
        <v>387</v>
      </c>
      <c r="CV7" t="s">
        <v>453</v>
      </c>
      <c r="CW7" t="s">
        <v>281</v>
      </c>
      <c r="CX7" t="s">
        <v>154</v>
      </c>
      <c r="CY7" t="s">
        <v>282</v>
      </c>
      <c r="CZ7" t="s">
        <v>283</v>
      </c>
      <c r="DA7" t="s">
        <v>509</v>
      </c>
      <c r="DB7" t="s">
        <v>510</v>
      </c>
      <c r="DC7" t="s">
        <v>19</v>
      </c>
      <c r="DD7" t="s">
        <v>511</v>
      </c>
      <c r="DE7" t="s">
        <v>388</v>
      </c>
      <c r="DF7" t="s">
        <v>287</v>
      </c>
      <c r="DG7" t="s">
        <v>288</v>
      </c>
      <c r="DH7" t="s">
        <v>19</v>
      </c>
      <c r="DI7" t="s">
        <v>389</v>
      </c>
      <c r="DJ7" t="s">
        <v>440</v>
      </c>
      <c r="DK7" t="s">
        <v>19</v>
      </c>
    </row>
    <row r="8" spans="1:115">
      <c r="A8" s="35" t="s">
        <v>7</v>
      </c>
      <c r="B8" t="s">
        <v>390</v>
      </c>
      <c r="C8" t="s">
        <v>512</v>
      </c>
      <c r="D8" t="s">
        <v>513</v>
      </c>
      <c r="E8" t="s">
        <v>15</v>
      </c>
      <c r="F8" t="s">
        <v>514</v>
      </c>
      <c r="G8" t="s">
        <v>19</v>
      </c>
      <c r="H8" t="s">
        <v>19</v>
      </c>
      <c r="I8" t="s">
        <v>22</v>
      </c>
      <c r="J8" t="s">
        <v>515</v>
      </c>
      <c r="K8" t="s">
        <v>19</v>
      </c>
      <c r="L8" t="s">
        <v>19</v>
      </c>
      <c r="M8" t="s">
        <v>28</v>
      </c>
      <c r="N8" t="s">
        <v>30</v>
      </c>
      <c r="O8" t="s">
        <v>391</v>
      </c>
      <c r="P8" t="s">
        <v>416</v>
      </c>
      <c r="Q8" t="s">
        <v>416</v>
      </c>
      <c r="R8" t="s">
        <v>38</v>
      </c>
      <c r="S8" t="s">
        <v>40</v>
      </c>
      <c r="T8" t="s">
        <v>392</v>
      </c>
      <c r="U8" t="s">
        <v>516</v>
      </c>
      <c r="V8" t="s">
        <v>19</v>
      </c>
      <c r="W8" t="s">
        <v>19</v>
      </c>
      <c r="X8" t="s">
        <v>19</v>
      </c>
      <c r="Y8" t="s">
        <v>19</v>
      </c>
      <c r="Z8" t="s">
        <v>19</v>
      </c>
      <c r="AA8" t="s">
        <v>34</v>
      </c>
      <c r="AB8" t="s">
        <v>34</v>
      </c>
      <c r="AC8" t="s">
        <v>34</v>
      </c>
      <c r="AD8" t="s">
        <v>19</v>
      </c>
      <c r="AE8" t="s">
        <v>19</v>
      </c>
      <c r="AF8" t="s">
        <v>393</v>
      </c>
      <c r="AG8" t="s">
        <v>19</v>
      </c>
      <c r="AH8" t="s">
        <v>19</v>
      </c>
      <c r="AI8" t="s">
        <v>19</v>
      </c>
      <c r="AJ8" t="s">
        <v>19</v>
      </c>
      <c r="AK8" t="s">
        <v>19</v>
      </c>
      <c r="AL8" t="s">
        <v>517</v>
      </c>
      <c r="AM8" t="s">
        <v>518</v>
      </c>
      <c r="AN8" t="s">
        <v>519</v>
      </c>
      <c r="AO8" t="s">
        <v>520</v>
      </c>
      <c r="AP8" t="s">
        <v>82</v>
      </c>
      <c r="AQ8" t="s">
        <v>394</v>
      </c>
      <c r="AR8" t="s">
        <v>86</v>
      </c>
      <c r="AS8" t="s">
        <v>395</v>
      </c>
      <c r="AT8" t="s">
        <v>521</v>
      </c>
      <c r="AU8" t="s">
        <v>19</v>
      </c>
      <c r="AV8" t="s">
        <v>19</v>
      </c>
      <c r="AW8" t="s">
        <v>393</v>
      </c>
      <c r="AX8" t="s">
        <v>19</v>
      </c>
      <c r="AY8" t="s">
        <v>19</v>
      </c>
      <c r="AZ8" t="s">
        <v>19</v>
      </c>
      <c r="BA8" t="s">
        <v>19</v>
      </c>
      <c r="BB8" t="s">
        <v>19</v>
      </c>
      <c r="BC8" t="s">
        <v>522</v>
      </c>
      <c r="BD8" t="s">
        <v>518</v>
      </c>
      <c r="BE8" t="s">
        <v>519</v>
      </c>
      <c r="BF8" t="s">
        <v>520</v>
      </c>
      <c r="BG8" t="s">
        <v>82</v>
      </c>
      <c r="BH8" t="s">
        <v>394</v>
      </c>
      <c r="BI8" t="s">
        <v>86</v>
      </c>
      <c r="BJ8" t="s">
        <v>396</v>
      </c>
      <c r="BK8" t="s">
        <v>521</v>
      </c>
      <c r="BL8" t="s">
        <v>523</v>
      </c>
      <c r="BM8" t="s">
        <v>19</v>
      </c>
      <c r="BN8" t="s">
        <v>393</v>
      </c>
      <c r="BO8" t="s">
        <v>19</v>
      </c>
      <c r="BP8" t="s">
        <v>19</v>
      </c>
      <c r="BQ8" t="s">
        <v>19</v>
      </c>
      <c r="BR8" t="s">
        <v>19</v>
      </c>
      <c r="BS8" t="s">
        <v>19</v>
      </c>
      <c r="BT8" t="s">
        <v>517</v>
      </c>
      <c r="BU8" t="s">
        <v>518</v>
      </c>
      <c r="BV8" t="s">
        <v>519</v>
      </c>
      <c r="BW8" t="s">
        <v>520</v>
      </c>
      <c r="BX8" t="s">
        <v>82</v>
      </c>
      <c r="BY8" t="s">
        <v>394</v>
      </c>
      <c r="BZ8" t="s">
        <v>86</v>
      </c>
      <c r="CA8" t="s">
        <v>395</v>
      </c>
      <c r="CB8" t="s">
        <v>521</v>
      </c>
      <c r="CC8" t="s">
        <v>397</v>
      </c>
      <c r="CD8" t="s">
        <v>19</v>
      </c>
      <c r="CE8" t="s">
        <v>398</v>
      </c>
      <c r="CF8" t="s">
        <v>399</v>
      </c>
      <c r="CG8" t="s">
        <v>524</v>
      </c>
      <c r="CH8" t="s">
        <v>34</v>
      </c>
      <c r="CI8" t="s">
        <v>19</v>
      </c>
      <c r="CJ8" t="s">
        <v>424</v>
      </c>
      <c r="CK8" t="s">
        <v>316</v>
      </c>
      <c r="CL8" t="s">
        <v>34</v>
      </c>
      <c r="CM8" t="s">
        <v>34</v>
      </c>
      <c r="CN8" t="s">
        <v>34</v>
      </c>
      <c r="CO8" t="s">
        <v>34</v>
      </c>
      <c r="CP8" t="s">
        <v>34</v>
      </c>
      <c r="CQ8" t="s">
        <v>34</v>
      </c>
      <c r="CR8" t="s">
        <v>19</v>
      </c>
      <c r="CS8" t="s">
        <v>279</v>
      </c>
      <c r="CT8" t="s">
        <v>400</v>
      </c>
      <c r="CU8" t="s">
        <v>401</v>
      </c>
      <c r="CV8" t="s">
        <v>453</v>
      </c>
      <c r="CW8" t="s">
        <v>281</v>
      </c>
      <c r="CX8" t="s">
        <v>154</v>
      </c>
      <c r="CY8" t="s">
        <v>282</v>
      </c>
      <c r="CZ8" t="s">
        <v>283</v>
      </c>
      <c r="DA8" t="s">
        <v>525</v>
      </c>
      <c r="DB8" t="s">
        <v>299</v>
      </c>
      <c r="DC8" t="s">
        <v>19</v>
      </c>
      <c r="DD8" t="s">
        <v>526</v>
      </c>
      <c r="DE8" t="s">
        <v>402</v>
      </c>
      <c r="DF8" t="s">
        <v>287</v>
      </c>
      <c r="DG8" t="s">
        <v>288</v>
      </c>
      <c r="DH8" t="s">
        <v>19</v>
      </c>
      <c r="DI8" t="s">
        <v>403</v>
      </c>
      <c r="DJ8" t="s">
        <v>156</v>
      </c>
      <c r="DK8" t="s">
        <v>19</v>
      </c>
    </row>
    <row r="9" spans="1:115">
      <c r="A9" s="35" t="s">
        <v>7</v>
      </c>
      <c r="B9" t="s">
        <v>404</v>
      </c>
      <c r="C9" t="s">
        <v>527</v>
      </c>
      <c r="D9" t="s">
        <v>528</v>
      </c>
      <c r="E9" t="s">
        <v>15</v>
      </c>
      <c r="F9" t="s">
        <v>529</v>
      </c>
      <c r="G9" t="s">
        <v>19</v>
      </c>
      <c r="H9" t="s">
        <v>19</v>
      </c>
      <c r="I9" t="s">
        <v>22</v>
      </c>
      <c r="J9" t="s">
        <v>530</v>
      </c>
      <c r="K9" t="s">
        <v>19</v>
      </c>
      <c r="L9" t="s">
        <v>19</v>
      </c>
      <c r="M9" t="s">
        <v>28</v>
      </c>
      <c r="N9" t="s">
        <v>30</v>
      </c>
      <c r="O9" t="s">
        <v>405</v>
      </c>
      <c r="P9" t="s">
        <v>416</v>
      </c>
      <c r="Q9" t="s">
        <v>416</v>
      </c>
      <c r="R9" t="s">
        <v>38</v>
      </c>
      <c r="S9" t="s">
        <v>40</v>
      </c>
      <c r="T9" t="s">
        <v>406</v>
      </c>
      <c r="U9" t="s">
        <v>531</v>
      </c>
      <c r="V9" t="s">
        <v>19</v>
      </c>
      <c r="W9" t="s">
        <v>19</v>
      </c>
      <c r="X9" t="s">
        <v>19</v>
      </c>
      <c r="Y9" t="s">
        <v>19</v>
      </c>
      <c r="Z9" t="s">
        <v>19</v>
      </c>
      <c r="AA9" t="s">
        <v>34</v>
      </c>
      <c r="AB9" t="s">
        <v>34</v>
      </c>
      <c r="AC9" t="s">
        <v>34</v>
      </c>
      <c r="AD9" t="s">
        <v>532</v>
      </c>
      <c r="AE9" t="s">
        <v>19</v>
      </c>
      <c r="AF9" t="s">
        <v>407</v>
      </c>
      <c r="AG9" t="s">
        <v>408</v>
      </c>
      <c r="AH9" t="s">
        <v>533</v>
      </c>
      <c r="AI9" t="s">
        <v>19</v>
      </c>
      <c r="AJ9" t="s">
        <v>19</v>
      </c>
      <c r="AK9" t="s">
        <v>19</v>
      </c>
      <c r="AL9" t="s">
        <v>19</v>
      </c>
      <c r="AM9" t="s">
        <v>534</v>
      </c>
      <c r="AN9" t="s">
        <v>535</v>
      </c>
      <c r="AO9" t="s">
        <v>536</v>
      </c>
      <c r="AP9" t="s">
        <v>82</v>
      </c>
      <c r="AQ9" t="s">
        <v>409</v>
      </c>
      <c r="AR9" t="s">
        <v>86</v>
      </c>
      <c r="AS9" t="s">
        <v>410</v>
      </c>
      <c r="AT9" t="s">
        <v>537</v>
      </c>
      <c r="AU9" t="s">
        <v>532</v>
      </c>
      <c r="AV9" t="s">
        <v>19</v>
      </c>
      <c r="AW9" t="s">
        <v>407</v>
      </c>
      <c r="AX9" t="s">
        <v>408</v>
      </c>
      <c r="AY9" t="s">
        <v>533</v>
      </c>
      <c r="AZ9" t="s">
        <v>19</v>
      </c>
      <c r="BA9" t="s">
        <v>19</v>
      </c>
      <c r="BB9" t="s">
        <v>19</v>
      </c>
      <c r="BC9" t="s">
        <v>19</v>
      </c>
      <c r="BD9" t="s">
        <v>534</v>
      </c>
      <c r="BE9" t="s">
        <v>535</v>
      </c>
      <c r="BF9" t="s">
        <v>536</v>
      </c>
      <c r="BG9" t="s">
        <v>82</v>
      </c>
      <c r="BH9" t="s">
        <v>409</v>
      </c>
      <c r="BI9" t="s">
        <v>86</v>
      </c>
      <c r="BJ9" t="s">
        <v>410</v>
      </c>
      <c r="BK9" t="s">
        <v>537</v>
      </c>
      <c r="BL9" t="s">
        <v>532</v>
      </c>
      <c r="BM9" t="s">
        <v>19</v>
      </c>
      <c r="BN9" t="s">
        <v>407</v>
      </c>
      <c r="BO9" t="s">
        <v>408</v>
      </c>
      <c r="BP9" t="s">
        <v>533</v>
      </c>
      <c r="BQ9" t="s">
        <v>19</v>
      </c>
      <c r="BR9" t="s">
        <v>19</v>
      </c>
      <c r="BS9" t="s">
        <v>19</v>
      </c>
      <c r="BT9" t="s">
        <v>19</v>
      </c>
      <c r="BU9" t="s">
        <v>534</v>
      </c>
      <c r="BV9" t="s">
        <v>535</v>
      </c>
      <c r="BW9" t="s">
        <v>536</v>
      </c>
      <c r="BX9" t="s">
        <v>82</v>
      </c>
      <c r="BY9" t="s">
        <v>409</v>
      </c>
      <c r="BZ9" t="s">
        <v>86</v>
      </c>
      <c r="CA9" t="s">
        <v>410</v>
      </c>
      <c r="CB9" t="s">
        <v>537</v>
      </c>
      <c r="CC9" t="s">
        <v>411</v>
      </c>
      <c r="CD9" t="s">
        <v>19</v>
      </c>
      <c r="CE9" t="s">
        <v>19</v>
      </c>
      <c r="CF9" t="s">
        <v>19</v>
      </c>
      <c r="CG9" t="s">
        <v>538</v>
      </c>
      <c r="CH9" t="s">
        <v>34</v>
      </c>
      <c r="CI9" t="s">
        <v>19</v>
      </c>
      <c r="CJ9" t="s">
        <v>424</v>
      </c>
      <c r="CK9" t="s">
        <v>316</v>
      </c>
      <c r="CL9" t="s">
        <v>34</v>
      </c>
      <c r="CM9" t="s">
        <v>34</v>
      </c>
      <c r="CN9" t="s">
        <v>34</v>
      </c>
      <c r="CO9" t="s">
        <v>34</v>
      </c>
      <c r="CP9" t="s">
        <v>34</v>
      </c>
      <c r="CQ9" t="s">
        <v>34</v>
      </c>
      <c r="CR9" t="s">
        <v>19</v>
      </c>
      <c r="CS9" t="s">
        <v>279</v>
      </c>
      <c r="CT9" t="s">
        <v>280</v>
      </c>
      <c r="CU9" t="s">
        <v>412</v>
      </c>
      <c r="CV9" t="s">
        <v>453</v>
      </c>
      <c r="CW9" t="s">
        <v>281</v>
      </c>
      <c r="CX9" t="s">
        <v>154</v>
      </c>
      <c r="CY9" t="s">
        <v>282</v>
      </c>
      <c r="CZ9" t="s">
        <v>283</v>
      </c>
      <c r="DA9" t="s">
        <v>539</v>
      </c>
      <c r="DB9" t="s">
        <v>299</v>
      </c>
      <c r="DC9" t="s">
        <v>19</v>
      </c>
      <c r="DD9" t="s">
        <v>439</v>
      </c>
      <c r="DE9" t="s">
        <v>413</v>
      </c>
      <c r="DF9" t="s">
        <v>287</v>
      </c>
      <c r="DG9" t="s">
        <v>288</v>
      </c>
      <c r="DH9" t="s">
        <v>19</v>
      </c>
      <c r="DI9" t="s">
        <v>414</v>
      </c>
      <c r="DJ9" t="s">
        <v>440</v>
      </c>
      <c r="DK9" t="s">
        <v>19</v>
      </c>
    </row>
    <row r="10" spans="1:115">
      <c r="A10" s="35" t="s">
        <v>7</v>
      </c>
      <c r="B10" t="s">
        <v>540</v>
      </c>
      <c r="C10" t="s">
        <v>541</v>
      </c>
      <c r="D10" t="s">
        <v>542</v>
      </c>
      <c r="E10" t="s">
        <v>457</v>
      </c>
      <c r="F10" t="s">
        <v>543</v>
      </c>
      <c r="G10" t="s">
        <v>19</v>
      </c>
      <c r="H10" t="s">
        <v>19</v>
      </c>
      <c r="I10" t="s">
        <v>459</v>
      </c>
      <c r="J10" t="s">
        <v>544</v>
      </c>
      <c r="K10" t="s">
        <v>19</v>
      </c>
      <c r="L10" t="s">
        <v>19</v>
      </c>
      <c r="M10" t="s">
        <v>360</v>
      </c>
      <c r="N10" t="s">
        <v>30</v>
      </c>
      <c r="O10" t="s">
        <v>545</v>
      </c>
      <c r="P10" t="s">
        <v>416</v>
      </c>
      <c r="Q10" t="s">
        <v>416</v>
      </c>
      <c r="R10" t="s">
        <v>346</v>
      </c>
      <c r="S10" t="s">
        <v>461</v>
      </c>
      <c r="T10" t="s">
        <v>546</v>
      </c>
      <c r="U10" t="s">
        <v>547</v>
      </c>
      <c r="V10" t="s">
        <v>19</v>
      </c>
      <c r="W10" t="s">
        <v>19</v>
      </c>
      <c r="X10" t="s">
        <v>19</v>
      </c>
      <c r="Y10" t="s">
        <v>19</v>
      </c>
      <c r="Z10" t="s">
        <v>19</v>
      </c>
      <c r="AA10" t="s">
        <v>34</v>
      </c>
      <c r="AB10" t="s">
        <v>34</v>
      </c>
      <c r="AC10" t="s">
        <v>34</v>
      </c>
      <c r="AD10" t="s">
        <v>19</v>
      </c>
      <c r="AE10" t="s">
        <v>19</v>
      </c>
      <c r="AF10" t="s">
        <v>548</v>
      </c>
      <c r="AG10" t="s">
        <v>19</v>
      </c>
      <c r="AH10" t="s">
        <v>19</v>
      </c>
      <c r="AI10" t="s">
        <v>19</v>
      </c>
      <c r="AJ10" t="s">
        <v>19</v>
      </c>
      <c r="AK10" t="s">
        <v>19</v>
      </c>
      <c r="AL10" t="s">
        <v>19</v>
      </c>
      <c r="AM10" t="s">
        <v>549</v>
      </c>
      <c r="AN10" t="s">
        <v>550</v>
      </c>
      <c r="AO10" t="s">
        <v>551</v>
      </c>
      <c r="AP10" t="s">
        <v>82</v>
      </c>
      <c r="AQ10" t="s">
        <v>322</v>
      </c>
      <c r="AR10" t="s">
        <v>86</v>
      </c>
      <c r="AS10" t="s">
        <v>552</v>
      </c>
      <c r="AT10" t="s">
        <v>553</v>
      </c>
      <c r="AU10" t="s">
        <v>19</v>
      </c>
      <c r="AV10" t="s">
        <v>19</v>
      </c>
      <c r="AW10" t="s">
        <v>548</v>
      </c>
      <c r="AX10" t="s">
        <v>19</v>
      </c>
      <c r="AY10" t="s">
        <v>19</v>
      </c>
      <c r="AZ10" t="s">
        <v>19</v>
      </c>
      <c r="BA10" t="s">
        <v>19</v>
      </c>
      <c r="BB10" t="s">
        <v>19</v>
      </c>
      <c r="BC10" t="s">
        <v>19</v>
      </c>
      <c r="BD10" t="s">
        <v>549</v>
      </c>
      <c r="BE10" t="s">
        <v>550</v>
      </c>
      <c r="BF10" t="s">
        <v>551</v>
      </c>
      <c r="BG10" t="s">
        <v>82</v>
      </c>
      <c r="BH10" t="s">
        <v>322</v>
      </c>
      <c r="BI10" t="s">
        <v>86</v>
      </c>
      <c r="BJ10" t="s">
        <v>552</v>
      </c>
      <c r="BK10" t="s">
        <v>553</v>
      </c>
      <c r="BL10" t="s">
        <v>19</v>
      </c>
      <c r="BM10" t="s">
        <v>19</v>
      </c>
      <c r="BN10" t="s">
        <v>548</v>
      </c>
      <c r="BO10" t="s">
        <v>19</v>
      </c>
      <c r="BP10" t="s">
        <v>19</v>
      </c>
      <c r="BQ10" t="s">
        <v>19</v>
      </c>
      <c r="BR10" t="s">
        <v>19</v>
      </c>
      <c r="BS10" t="s">
        <v>19</v>
      </c>
      <c r="BT10" t="s">
        <v>19</v>
      </c>
      <c r="BU10" t="s">
        <v>549</v>
      </c>
      <c r="BV10" t="s">
        <v>550</v>
      </c>
      <c r="BW10" t="s">
        <v>551</v>
      </c>
      <c r="BX10" t="s">
        <v>82</v>
      </c>
      <c r="BY10" t="s">
        <v>322</v>
      </c>
      <c r="BZ10" t="s">
        <v>86</v>
      </c>
      <c r="CA10" t="s">
        <v>552</v>
      </c>
      <c r="CB10" t="s">
        <v>553</v>
      </c>
      <c r="CC10" t="s">
        <v>554</v>
      </c>
      <c r="CD10" t="s">
        <v>19</v>
      </c>
      <c r="CE10" t="s">
        <v>555</v>
      </c>
      <c r="CF10" t="s">
        <v>556</v>
      </c>
      <c r="CG10" t="s">
        <v>557</v>
      </c>
      <c r="CH10" t="s">
        <v>34</v>
      </c>
      <c r="CI10" t="s">
        <v>19</v>
      </c>
      <c r="CJ10" t="s">
        <v>424</v>
      </c>
      <c r="CK10" t="s">
        <v>316</v>
      </c>
      <c r="CL10" t="s">
        <v>34</v>
      </c>
      <c r="CM10" t="s">
        <v>34</v>
      </c>
      <c r="CN10" t="s">
        <v>34</v>
      </c>
      <c r="CO10" t="s">
        <v>34</v>
      </c>
      <c r="CP10" t="s">
        <v>34</v>
      </c>
      <c r="CQ10" t="s">
        <v>34</v>
      </c>
      <c r="CR10" t="s">
        <v>19</v>
      </c>
      <c r="CS10" t="s">
        <v>279</v>
      </c>
      <c r="CT10" t="s">
        <v>280</v>
      </c>
      <c r="CU10" t="s">
        <v>558</v>
      </c>
      <c r="CV10" t="s">
        <v>453</v>
      </c>
      <c r="CW10" t="s">
        <v>281</v>
      </c>
      <c r="CX10" t="s">
        <v>154</v>
      </c>
      <c r="CY10" t="s">
        <v>282</v>
      </c>
      <c r="CZ10" t="s">
        <v>283</v>
      </c>
      <c r="DA10" t="s">
        <v>559</v>
      </c>
      <c r="DB10" t="s">
        <v>299</v>
      </c>
      <c r="DC10" t="s">
        <v>19</v>
      </c>
      <c r="DD10" t="s">
        <v>439</v>
      </c>
      <c r="DE10" t="s">
        <v>560</v>
      </c>
      <c r="DF10" t="s">
        <v>287</v>
      </c>
      <c r="DG10" t="s">
        <v>288</v>
      </c>
      <c r="DH10" t="s">
        <v>19</v>
      </c>
      <c r="DI10" t="s">
        <v>561</v>
      </c>
      <c r="DJ10" t="s">
        <v>440</v>
      </c>
      <c r="DK10" t="s">
        <v>19</v>
      </c>
    </row>
    <row r="11" spans="1:115">
      <c r="A11" s="35" t="s">
        <v>7</v>
      </c>
      <c r="B11" t="s">
        <v>563</v>
      </c>
      <c r="C11" t="s">
        <v>564</v>
      </c>
      <c r="D11" t="s">
        <v>565</v>
      </c>
      <c r="E11" t="s">
        <v>457</v>
      </c>
      <c r="F11" t="s">
        <v>566</v>
      </c>
      <c r="G11" t="s">
        <v>19</v>
      </c>
      <c r="H11" t="s">
        <v>19</v>
      </c>
      <c r="I11" t="s">
        <v>459</v>
      </c>
      <c r="J11" t="s">
        <v>567</v>
      </c>
      <c r="K11" t="s">
        <v>19</v>
      </c>
      <c r="L11" t="s">
        <v>19</v>
      </c>
      <c r="M11" t="s">
        <v>28</v>
      </c>
      <c r="N11" t="s">
        <v>30</v>
      </c>
      <c r="O11" t="s">
        <v>568</v>
      </c>
      <c r="P11" t="s">
        <v>416</v>
      </c>
      <c r="Q11" t="s">
        <v>416</v>
      </c>
      <c r="R11" t="s">
        <v>346</v>
      </c>
      <c r="S11" t="s">
        <v>461</v>
      </c>
      <c r="T11" t="s">
        <v>569</v>
      </c>
      <c r="U11" t="s">
        <v>570</v>
      </c>
      <c r="V11" t="s">
        <v>19</v>
      </c>
      <c r="W11" t="s">
        <v>19</v>
      </c>
      <c r="X11" t="s">
        <v>19</v>
      </c>
      <c r="Y11" t="s">
        <v>19</v>
      </c>
      <c r="Z11" t="s">
        <v>19</v>
      </c>
      <c r="AA11" t="s">
        <v>34</v>
      </c>
      <c r="AB11" t="s">
        <v>34</v>
      </c>
      <c r="AC11" t="s">
        <v>34</v>
      </c>
      <c r="AD11" t="s">
        <v>19</v>
      </c>
      <c r="AE11" t="s">
        <v>19</v>
      </c>
      <c r="AF11" t="s">
        <v>571</v>
      </c>
      <c r="AG11" t="s">
        <v>19</v>
      </c>
      <c r="AH11" t="s">
        <v>19</v>
      </c>
      <c r="AI11" t="s">
        <v>572</v>
      </c>
      <c r="AJ11" t="s">
        <v>19</v>
      </c>
      <c r="AK11" t="s">
        <v>573</v>
      </c>
      <c r="AL11" t="s">
        <v>19</v>
      </c>
      <c r="AM11" t="s">
        <v>574</v>
      </c>
      <c r="AN11" t="s">
        <v>550</v>
      </c>
      <c r="AO11" t="s">
        <v>551</v>
      </c>
      <c r="AP11" t="s">
        <v>82</v>
      </c>
      <c r="AQ11" t="s">
        <v>322</v>
      </c>
      <c r="AR11" t="s">
        <v>86</v>
      </c>
      <c r="AS11" t="s">
        <v>575</v>
      </c>
      <c r="AT11" t="s">
        <v>576</v>
      </c>
      <c r="AU11" t="s">
        <v>19</v>
      </c>
      <c r="AV11" t="s">
        <v>19</v>
      </c>
      <c r="AW11" t="s">
        <v>571</v>
      </c>
      <c r="AX11" t="s">
        <v>19</v>
      </c>
      <c r="AY11" t="s">
        <v>19</v>
      </c>
      <c r="AZ11" t="s">
        <v>572</v>
      </c>
      <c r="BA11" t="s">
        <v>19</v>
      </c>
      <c r="BB11" t="s">
        <v>573</v>
      </c>
      <c r="BC11" t="s">
        <v>19</v>
      </c>
      <c r="BD11" t="s">
        <v>574</v>
      </c>
      <c r="BE11" t="s">
        <v>550</v>
      </c>
      <c r="BF11" t="s">
        <v>551</v>
      </c>
      <c r="BG11" t="s">
        <v>82</v>
      </c>
      <c r="BH11" t="s">
        <v>322</v>
      </c>
      <c r="BI11" t="s">
        <v>86</v>
      </c>
      <c r="BJ11" t="s">
        <v>575</v>
      </c>
      <c r="BK11" t="s">
        <v>576</v>
      </c>
      <c r="BL11" t="s">
        <v>577</v>
      </c>
      <c r="BM11" t="s">
        <v>19</v>
      </c>
      <c r="BN11" t="s">
        <v>571</v>
      </c>
      <c r="BO11" t="s">
        <v>19</v>
      </c>
      <c r="BP11" t="s">
        <v>19</v>
      </c>
      <c r="BQ11" t="s">
        <v>572</v>
      </c>
      <c r="BR11" t="s">
        <v>19</v>
      </c>
      <c r="BS11" t="s">
        <v>573</v>
      </c>
      <c r="BT11" t="s">
        <v>19</v>
      </c>
      <c r="BU11" t="s">
        <v>574</v>
      </c>
      <c r="BV11" t="s">
        <v>550</v>
      </c>
      <c r="BW11" t="s">
        <v>551</v>
      </c>
      <c r="BX11" t="s">
        <v>82</v>
      </c>
      <c r="BY11" t="s">
        <v>322</v>
      </c>
      <c r="BZ11" t="s">
        <v>86</v>
      </c>
      <c r="CA11" t="s">
        <v>575</v>
      </c>
      <c r="CB11" t="s">
        <v>576</v>
      </c>
      <c r="CC11" t="s">
        <v>578</v>
      </c>
      <c r="CD11" t="s">
        <v>19</v>
      </c>
      <c r="CE11" t="s">
        <v>579</v>
      </c>
      <c r="CF11" t="s">
        <v>580</v>
      </c>
      <c r="CG11" t="s">
        <v>581</v>
      </c>
      <c r="CH11" t="s">
        <v>34</v>
      </c>
      <c r="CI11" t="s">
        <v>19</v>
      </c>
      <c r="CJ11" t="s">
        <v>424</v>
      </c>
      <c r="CK11" t="s">
        <v>316</v>
      </c>
      <c r="CL11" t="s">
        <v>34</v>
      </c>
      <c r="CM11" t="s">
        <v>34</v>
      </c>
      <c r="CN11" t="s">
        <v>34</v>
      </c>
      <c r="CO11" t="s">
        <v>34</v>
      </c>
      <c r="CP11" t="s">
        <v>34</v>
      </c>
      <c r="CQ11" t="s">
        <v>34</v>
      </c>
      <c r="CR11" t="s">
        <v>19</v>
      </c>
      <c r="CS11" t="s">
        <v>279</v>
      </c>
      <c r="CT11" t="s">
        <v>280</v>
      </c>
      <c r="CU11" t="s">
        <v>412</v>
      </c>
      <c r="CV11" t="s">
        <v>453</v>
      </c>
      <c r="CW11" t="s">
        <v>281</v>
      </c>
      <c r="CX11" t="s">
        <v>154</v>
      </c>
      <c r="CY11" t="s">
        <v>282</v>
      </c>
      <c r="CZ11" t="s">
        <v>283</v>
      </c>
      <c r="DA11" t="s">
        <v>582</v>
      </c>
      <c r="DB11" t="s">
        <v>583</v>
      </c>
      <c r="DC11" t="s">
        <v>19</v>
      </c>
      <c r="DD11" t="s">
        <v>439</v>
      </c>
      <c r="DE11" t="s">
        <v>584</v>
      </c>
      <c r="DF11" t="s">
        <v>287</v>
      </c>
      <c r="DG11" t="s">
        <v>288</v>
      </c>
      <c r="DH11" t="s">
        <v>19</v>
      </c>
      <c r="DI11" t="s">
        <v>585</v>
      </c>
      <c r="DJ11" t="s">
        <v>440</v>
      </c>
      <c r="DK11" t="s">
        <v>19</v>
      </c>
    </row>
    <row r="12" spans="1:115">
      <c r="A12" s="35" t="s">
        <v>7</v>
      </c>
      <c r="B12" t="s">
        <v>586</v>
      </c>
      <c r="C12" t="s">
        <v>587</v>
      </c>
      <c r="D12" t="s">
        <v>588</v>
      </c>
      <c r="E12" t="s">
        <v>15</v>
      </c>
      <c r="F12" t="s">
        <v>589</v>
      </c>
      <c r="G12" t="s">
        <v>19</v>
      </c>
      <c r="H12" t="s">
        <v>19</v>
      </c>
      <c r="I12" t="s">
        <v>22</v>
      </c>
      <c r="J12" t="s">
        <v>590</v>
      </c>
      <c r="K12" t="s">
        <v>19</v>
      </c>
      <c r="L12" t="s">
        <v>19</v>
      </c>
      <c r="M12" t="s">
        <v>360</v>
      </c>
      <c r="N12" t="s">
        <v>30</v>
      </c>
      <c r="O12" t="s">
        <v>591</v>
      </c>
      <c r="P12" t="s">
        <v>416</v>
      </c>
      <c r="Q12" t="s">
        <v>416</v>
      </c>
      <c r="R12" t="s">
        <v>38</v>
      </c>
      <c r="S12" t="s">
        <v>40</v>
      </c>
      <c r="T12" t="s">
        <v>592</v>
      </c>
      <c r="U12" t="s">
        <v>593</v>
      </c>
      <c r="V12" t="s">
        <v>19</v>
      </c>
      <c r="W12" t="s">
        <v>19</v>
      </c>
      <c r="X12" t="s">
        <v>19</v>
      </c>
      <c r="Y12" t="s">
        <v>19</v>
      </c>
      <c r="Z12" t="s">
        <v>19</v>
      </c>
      <c r="AA12" t="s">
        <v>34</v>
      </c>
      <c r="AB12" t="s">
        <v>34</v>
      </c>
      <c r="AC12" t="s">
        <v>34</v>
      </c>
      <c r="AD12" t="s">
        <v>594</v>
      </c>
      <c r="AE12" t="s">
        <v>19</v>
      </c>
      <c r="AF12" t="s">
        <v>595</v>
      </c>
      <c r="AG12" t="s">
        <v>19</v>
      </c>
      <c r="AH12" t="s">
        <v>19</v>
      </c>
      <c r="AI12" t="s">
        <v>19</v>
      </c>
      <c r="AJ12" t="s">
        <v>19</v>
      </c>
      <c r="AK12" t="s">
        <v>19</v>
      </c>
      <c r="AL12" t="s">
        <v>596</v>
      </c>
      <c r="AM12" t="s">
        <v>597</v>
      </c>
      <c r="AN12" t="s">
        <v>598</v>
      </c>
      <c r="AO12" t="s">
        <v>506</v>
      </c>
      <c r="AP12" t="s">
        <v>599</v>
      </c>
      <c r="AQ12" t="s">
        <v>600</v>
      </c>
      <c r="AR12" t="s">
        <v>86</v>
      </c>
      <c r="AS12" t="s">
        <v>601</v>
      </c>
      <c r="AT12" t="s">
        <v>602</v>
      </c>
      <c r="AU12" t="s">
        <v>594</v>
      </c>
      <c r="AV12" t="s">
        <v>19</v>
      </c>
      <c r="AW12" t="s">
        <v>595</v>
      </c>
      <c r="AX12" t="s">
        <v>19</v>
      </c>
      <c r="AY12" t="s">
        <v>19</v>
      </c>
      <c r="AZ12" t="s">
        <v>19</v>
      </c>
      <c r="BA12" t="s">
        <v>19</v>
      </c>
      <c r="BB12" t="s">
        <v>19</v>
      </c>
      <c r="BC12" t="s">
        <v>596</v>
      </c>
      <c r="BD12" t="s">
        <v>597</v>
      </c>
      <c r="BE12" t="s">
        <v>598</v>
      </c>
      <c r="BF12" t="s">
        <v>506</v>
      </c>
      <c r="BG12" t="s">
        <v>599</v>
      </c>
      <c r="BH12" t="s">
        <v>600</v>
      </c>
      <c r="BI12" t="s">
        <v>86</v>
      </c>
      <c r="BJ12" t="s">
        <v>601</v>
      </c>
      <c r="BK12" t="s">
        <v>602</v>
      </c>
      <c r="BL12" t="s">
        <v>594</v>
      </c>
      <c r="BM12" t="s">
        <v>19</v>
      </c>
      <c r="BN12" t="s">
        <v>595</v>
      </c>
      <c r="BO12" t="s">
        <v>19</v>
      </c>
      <c r="BP12" t="s">
        <v>19</v>
      </c>
      <c r="BQ12" t="s">
        <v>19</v>
      </c>
      <c r="BR12" t="s">
        <v>19</v>
      </c>
      <c r="BS12" t="s">
        <v>19</v>
      </c>
      <c r="BT12" t="s">
        <v>596</v>
      </c>
      <c r="BU12" t="s">
        <v>597</v>
      </c>
      <c r="BV12" t="s">
        <v>598</v>
      </c>
      <c r="BW12" t="s">
        <v>506</v>
      </c>
      <c r="BX12" t="s">
        <v>599</v>
      </c>
      <c r="BY12" t="s">
        <v>600</v>
      </c>
      <c r="BZ12" t="s">
        <v>86</v>
      </c>
      <c r="CA12" t="s">
        <v>601</v>
      </c>
      <c r="CB12" t="s">
        <v>602</v>
      </c>
      <c r="CC12" t="s">
        <v>603</v>
      </c>
      <c r="CD12" t="s">
        <v>604</v>
      </c>
      <c r="CE12" t="s">
        <v>605</v>
      </c>
      <c r="CF12" t="s">
        <v>606</v>
      </c>
      <c r="CG12" t="s">
        <v>607</v>
      </c>
      <c r="CH12" t="s">
        <v>34</v>
      </c>
      <c r="CI12" t="s">
        <v>19</v>
      </c>
      <c r="CJ12" t="s">
        <v>424</v>
      </c>
      <c r="CK12" t="s">
        <v>316</v>
      </c>
      <c r="CL12" t="s">
        <v>34</v>
      </c>
      <c r="CM12" t="s">
        <v>34</v>
      </c>
      <c r="CN12" t="s">
        <v>34</v>
      </c>
      <c r="CO12" t="s">
        <v>34</v>
      </c>
      <c r="CP12" t="s">
        <v>34</v>
      </c>
      <c r="CQ12" t="s">
        <v>34</v>
      </c>
      <c r="CR12" t="s">
        <v>19</v>
      </c>
      <c r="CS12" t="s">
        <v>279</v>
      </c>
      <c r="CT12" t="s">
        <v>280</v>
      </c>
      <c r="CU12" t="s">
        <v>387</v>
      </c>
      <c r="CV12" t="s">
        <v>453</v>
      </c>
      <c r="CW12" t="s">
        <v>281</v>
      </c>
      <c r="CX12" t="s">
        <v>154</v>
      </c>
      <c r="CY12" t="s">
        <v>282</v>
      </c>
      <c r="CZ12" t="s">
        <v>283</v>
      </c>
      <c r="DA12" t="s">
        <v>496</v>
      </c>
      <c r="DB12" t="s">
        <v>299</v>
      </c>
      <c r="DC12" t="s">
        <v>19</v>
      </c>
      <c r="DD12" t="s">
        <v>439</v>
      </c>
      <c r="DE12" t="s">
        <v>608</v>
      </c>
      <c r="DF12" t="s">
        <v>287</v>
      </c>
      <c r="DG12" t="s">
        <v>288</v>
      </c>
      <c r="DH12" t="s">
        <v>19</v>
      </c>
      <c r="DI12" t="s">
        <v>609</v>
      </c>
      <c r="DJ12" t="s">
        <v>156</v>
      </c>
      <c r="DK12" t="s">
        <v>19</v>
      </c>
    </row>
    <row r="13" spans="1:115">
      <c r="A13" s="35" t="s">
        <v>7</v>
      </c>
      <c r="B13" t="s">
        <v>610</v>
      </c>
      <c r="C13" t="s">
        <v>611</v>
      </c>
      <c r="D13" t="s">
        <v>612</v>
      </c>
      <c r="E13" t="s">
        <v>15</v>
      </c>
      <c r="F13" t="s">
        <v>613</v>
      </c>
      <c r="G13" t="s">
        <v>19</v>
      </c>
      <c r="H13" t="s">
        <v>19</v>
      </c>
      <c r="I13" t="s">
        <v>22</v>
      </c>
      <c r="J13" t="s">
        <v>614</v>
      </c>
      <c r="K13" t="s">
        <v>19</v>
      </c>
      <c r="L13" t="s">
        <v>19</v>
      </c>
      <c r="M13" t="s">
        <v>28</v>
      </c>
      <c r="N13" t="s">
        <v>30</v>
      </c>
      <c r="O13" t="s">
        <v>615</v>
      </c>
      <c r="P13" t="s">
        <v>416</v>
      </c>
      <c r="Q13" t="s">
        <v>416</v>
      </c>
      <c r="R13" t="s">
        <v>38</v>
      </c>
      <c r="S13" t="s">
        <v>40</v>
      </c>
      <c r="T13" t="s">
        <v>616</v>
      </c>
      <c r="U13" t="s">
        <v>617</v>
      </c>
      <c r="V13" t="s">
        <v>19</v>
      </c>
      <c r="W13" t="s">
        <v>19</v>
      </c>
      <c r="X13" t="s">
        <v>618</v>
      </c>
      <c r="Y13" t="s">
        <v>619</v>
      </c>
      <c r="Z13" t="s">
        <v>620</v>
      </c>
      <c r="AA13" t="s">
        <v>34</v>
      </c>
      <c r="AB13" t="s">
        <v>34</v>
      </c>
      <c r="AC13" t="s">
        <v>34</v>
      </c>
      <c r="AD13" t="s">
        <v>621</v>
      </c>
      <c r="AE13" t="s">
        <v>19</v>
      </c>
      <c r="AF13" t="s">
        <v>622</v>
      </c>
      <c r="AG13" t="s">
        <v>28</v>
      </c>
      <c r="AH13" t="s">
        <v>19</v>
      </c>
      <c r="AI13" t="s">
        <v>623</v>
      </c>
      <c r="AJ13" t="s">
        <v>19</v>
      </c>
      <c r="AK13" t="s">
        <v>19</v>
      </c>
      <c r="AL13" t="s">
        <v>19</v>
      </c>
      <c r="AM13" t="s">
        <v>19</v>
      </c>
      <c r="AN13" t="s">
        <v>624</v>
      </c>
      <c r="AO13" t="s">
        <v>506</v>
      </c>
      <c r="AP13" t="s">
        <v>625</v>
      </c>
      <c r="AQ13" t="s">
        <v>626</v>
      </c>
      <c r="AR13" t="s">
        <v>86</v>
      </c>
      <c r="AS13" t="s">
        <v>627</v>
      </c>
      <c r="AT13" t="s">
        <v>628</v>
      </c>
      <c r="AU13" t="s">
        <v>19</v>
      </c>
      <c r="AV13" t="s">
        <v>19</v>
      </c>
      <c r="AW13" t="s">
        <v>629</v>
      </c>
      <c r="AX13" t="s">
        <v>19</v>
      </c>
      <c r="AY13" t="s">
        <v>19</v>
      </c>
      <c r="AZ13" t="s">
        <v>630</v>
      </c>
      <c r="BA13" t="s">
        <v>19</v>
      </c>
      <c r="BB13" t="s">
        <v>631</v>
      </c>
      <c r="BC13" t="s">
        <v>19</v>
      </c>
      <c r="BD13" t="s">
        <v>449</v>
      </c>
      <c r="BE13" t="s">
        <v>450</v>
      </c>
      <c r="BF13" t="s">
        <v>451</v>
      </c>
      <c r="BG13" t="s">
        <v>82</v>
      </c>
      <c r="BH13" t="s">
        <v>337</v>
      </c>
      <c r="BI13" t="s">
        <v>86</v>
      </c>
      <c r="BJ13" t="s">
        <v>632</v>
      </c>
      <c r="BK13" t="s">
        <v>633</v>
      </c>
      <c r="BL13" t="s">
        <v>19</v>
      </c>
      <c r="BM13" t="s">
        <v>19</v>
      </c>
      <c r="BN13" t="s">
        <v>629</v>
      </c>
      <c r="BO13" t="s">
        <v>19</v>
      </c>
      <c r="BP13" t="s">
        <v>19</v>
      </c>
      <c r="BQ13" t="s">
        <v>630</v>
      </c>
      <c r="BR13" t="s">
        <v>19</v>
      </c>
      <c r="BS13" t="s">
        <v>631</v>
      </c>
      <c r="BT13" t="s">
        <v>19</v>
      </c>
      <c r="BU13" t="s">
        <v>449</v>
      </c>
      <c r="BV13" t="s">
        <v>450</v>
      </c>
      <c r="BW13" t="s">
        <v>451</v>
      </c>
      <c r="BX13" t="s">
        <v>82</v>
      </c>
      <c r="BY13" t="s">
        <v>337</v>
      </c>
      <c r="BZ13" t="s">
        <v>86</v>
      </c>
      <c r="CA13" t="s">
        <v>632</v>
      </c>
      <c r="CB13" t="s">
        <v>633</v>
      </c>
      <c r="CC13" t="s">
        <v>634</v>
      </c>
      <c r="CD13" t="s">
        <v>19</v>
      </c>
      <c r="CE13" t="s">
        <v>635</v>
      </c>
      <c r="CF13" t="s">
        <v>19</v>
      </c>
      <c r="CG13" t="s">
        <v>636</v>
      </c>
      <c r="CH13" t="s">
        <v>34</v>
      </c>
      <c r="CI13" t="s">
        <v>19</v>
      </c>
      <c r="CJ13" t="s">
        <v>424</v>
      </c>
      <c r="CK13" t="s">
        <v>316</v>
      </c>
      <c r="CL13" t="s">
        <v>34</v>
      </c>
      <c r="CM13" t="s">
        <v>34</v>
      </c>
      <c r="CN13" t="s">
        <v>34</v>
      </c>
      <c r="CO13" t="s">
        <v>34</v>
      </c>
      <c r="CP13" t="s">
        <v>34</v>
      </c>
      <c r="CQ13" t="s">
        <v>34</v>
      </c>
      <c r="CR13" t="s">
        <v>19</v>
      </c>
      <c r="CS13" t="s">
        <v>279</v>
      </c>
      <c r="CT13" t="s">
        <v>280</v>
      </c>
      <c r="CU13" t="s">
        <v>637</v>
      </c>
      <c r="CV13" t="s">
        <v>638</v>
      </c>
      <c r="CW13" t="s">
        <v>281</v>
      </c>
      <c r="CX13" t="s">
        <v>154</v>
      </c>
      <c r="CY13" t="s">
        <v>282</v>
      </c>
      <c r="CZ13" t="s">
        <v>283</v>
      </c>
      <c r="DA13" t="s">
        <v>639</v>
      </c>
      <c r="DB13" t="s">
        <v>497</v>
      </c>
      <c r="DC13" t="s">
        <v>19</v>
      </c>
      <c r="DD13" t="s">
        <v>439</v>
      </c>
      <c r="DE13" t="s">
        <v>640</v>
      </c>
      <c r="DF13" t="s">
        <v>287</v>
      </c>
      <c r="DG13" t="s">
        <v>288</v>
      </c>
      <c r="DH13" t="s">
        <v>19</v>
      </c>
      <c r="DI13" t="s">
        <v>641</v>
      </c>
      <c r="DJ13" t="s">
        <v>642</v>
      </c>
      <c r="DK13" t="s">
        <v>643</v>
      </c>
    </row>
    <row r="14" spans="1:115">
      <c r="A14" s="35" t="s">
        <v>7</v>
      </c>
      <c r="B14" t="s">
        <v>644</v>
      </c>
      <c r="C14" t="s">
        <v>645</v>
      </c>
      <c r="D14" t="s">
        <v>646</v>
      </c>
      <c r="E14" t="s">
        <v>15</v>
      </c>
      <c r="F14" t="s">
        <v>647</v>
      </c>
      <c r="G14" t="s">
        <v>19</v>
      </c>
      <c r="H14" t="s">
        <v>19</v>
      </c>
      <c r="I14" t="s">
        <v>22</v>
      </c>
      <c r="J14" t="s">
        <v>648</v>
      </c>
      <c r="K14" t="s">
        <v>19</v>
      </c>
      <c r="L14" t="s">
        <v>19</v>
      </c>
      <c r="M14" t="s">
        <v>28</v>
      </c>
      <c r="N14" t="s">
        <v>30</v>
      </c>
      <c r="O14" t="s">
        <v>649</v>
      </c>
      <c r="P14" t="s">
        <v>416</v>
      </c>
      <c r="Q14" t="s">
        <v>416</v>
      </c>
      <c r="R14" t="s">
        <v>38</v>
      </c>
      <c r="S14" t="s">
        <v>40</v>
      </c>
      <c r="T14" t="s">
        <v>650</v>
      </c>
      <c r="U14" t="s">
        <v>651</v>
      </c>
      <c r="V14" t="s">
        <v>19</v>
      </c>
      <c r="W14" t="s">
        <v>19</v>
      </c>
      <c r="X14" t="s">
        <v>652</v>
      </c>
      <c r="Y14" t="s">
        <v>653</v>
      </c>
      <c r="Z14" t="s">
        <v>654</v>
      </c>
      <c r="AA14" t="s">
        <v>34</v>
      </c>
      <c r="AB14" t="s">
        <v>34</v>
      </c>
      <c r="AC14" t="s">
        <v>34</v>
      </c>
      <c r="AD14" t="s">
        <v>19</v>
      </c>
      <c r="AE14" t="s">
        <v>19</v>
      </c>
      <c r="AF14" t="s">
        <v>655</v>
      </c>
      <c r="AG14" t="s">
        <v>64</v>
      </c>
      <c r="AH14" t="s">
        <v>19</v>
      </c>
      <c r="AI14" t="s">
        <v>19</v>
      </c>
      <c r="AJ14" t="s">
        <v>19</v>
      </c>
      <c r="AK14" t="s">
        <v>19</v>
      </c>
      <c r="AL14" t="s">
        <v>64</v>
      </c>
      <c r="AM14" t="s">
        <v>656</v>
      </c>
      <c r="AN14" t="s">
        <v>657</v>
      </c>
      <c r="AO14" t="s">
        <v>494</v>
      </c>
      <c r="AP14" t="s">
        <v>82</v>
      </c>
      <c r="AQ14" t="s">
        <v>349</v>
      </c>
      <c r="AR14" t="s">
        <v>86</v>
      </c>
      <c r="AS14" t="s">
        <v>658</v>
      </c>
      <c r="AT14" t="s">
        <v>495</v>
      </c>
      <c r="AU14" t="s">
        <v>659</v>
      </c>
      <c r="AV14" t="s">
        <v>19</v>
      </c>
      <c r="AW14" t="s">
        <v>655</v>
      </c>
      <c r="AX14" t="s">
        <v>19</v>
      </c>
      <c r="AY14" t="s">
        <v>19</v>
      </c>
      <c r="AZ14" t="s">
        <v>656</v>
      </c>
      <c r="BA14" t="s">
        <v>19</v>
      </c>
      <c r="BB14" t="s">
        <v>19</v>
      </c>
      <c r="BC14" t="s">
        <v>19</v>
      </c>
      <c r="BD14" t="s">
        <v>19</v>
      </c>
      <c r="BE14" t="s">
        <v>657</v>
      </c>
      <c r="BF14" t="s">
        <v>494</v>
      </c>
      <c r="BG14" t="s">
        <v>82</v>
      </c>
      <c r="BH14" t="s">
        <v>349</v>
      </c>
      <c r="BI14" t="s">
        <v>86</v>
      </c>
      <c r="BJ14" t="s">
        <v>660</v>
      </c>
      <c r="BK14" t="s">
        <v>495</v>
      </c>
      <c r="BL14" t="s">
        <v>661</v>
      </c>
      <c r="BM14" t="s">
        <v>19</v>
      </c>
      <c r="BN14" t="s">
        <v>662</v>
      </c>
      <c r="BO14" t="s">
        <v>663</v>
      </c>
      <c r="BP14" t="s">
        <v>19</v>
      </c>
      <c r="BQ14" t="s">
        <v>19</v>
      </c>
      <c r="BR14" t="s">
        <v>19</v>
      </c>
      <c r="BS14" t="s">
        <v>19</v>
      </c>
      <c r="BT14" t="s">
        <v>19</v>
      </c>
      <c r="BU14" t="s">
        <v>19</v>
      </c>
      <c r="BV14" t="s">
        <v>664</v>
      </c>
      <c r="BW14" t="s">
        <v>506</v>
      </c>
      <c r="BX14" t="s">
        <v>665</v>
      </c>
      <c r="BY14" t="s">
        <v>666</v>
      </c>
      <c r="BZ14" t="s">
        <v>86</v>
      </c>
      <c r="CA14" t="s">
        <v>667</v>
      </c>
      <c r="CB14" t="s">
        <v>668</v>
      </c>
      <c r="CC14" t="s">
        <v>669</v>
      </c>
      <c r="CD14" t="s">
        <v>19</v>
      </c>
      <c r="CE14" t="s">
        <v>670</v>
      </c>
      <c r="CF14" t="s">
        <v>19</v>
      </c>
      <c r="CG14" t="s">
        <v>19</v>
      </c>
      <c r="CH14" t="s">
        <v>34</v>
      </c>
      <c r="CI14" t="s">
        <v>19</v>
      </c>
      <c r="CJ14" t="s">
        <v>424</v>
      </c>
      <c r="CK14" t="s">
        <v>316</v>
      </c>
      <c r="CL14" t="s">
        <v>34</v>
      </c>
      <c r="CM14" t="s">
        <v>34</v>
      </c>
      <c r="CN14" t="s">
        <v>34</v>
      </c>
      <c r="CO14" t="s">
        <v>34</v>
      </c>
      <c r="CP14" t="s">
        <v>34</v>
      </c>
      <c r="CQ14" t="s">
        <v>34</v>
      </c>
      <c r="CR14" t="s">
        <v>19</v>
      </c>
      <c r="CS14" t="s">
        <v>279</v>
      </c>
      <c r="CT14" t="s">
        <v>280</v>
      </c>
      <c r="CU14" t="s">
        <v>328</v>
      </c>
      <c r="CV14" t="s">
        <v>453</v>
      </c>
      <c r="CW14" t="s">
        <v>281</v>
      </c>
      <c r="CX14" t="s">
        <v>154</v>
      </c>
      <c r="CY14" t="s">
        <v>282</v>
      </c>
      <c r="CZ14" t="s">
        <v>283</v>
      </c>
      <c r="DA14" t="s">
        <v>671</v>
      </c>
      <c r="DB14" t="s">
        <v>672</v>
      </c>
      <c r="DC14" t="s">
        <v>19</v>
      </c>
      <c r="DD14" t="s">
        <v>439</v>
      </c>
      <c r="DE14" t="s">
        <v>673</v>
      </c>
      <c r="DF14" t="s">
        <v>287</v>
      </c>
      <c r="DG14" t="s">
        <v>288</v>
      </c>
      <c r="DH14" t="s">
        <v>19</v>
      </c>
      <c r="DI14" t="s">
        <v>674</v>
      </c>
      <c r="DJ14" t="s">
        <v>440</v>
      </c>
      <c r="DK14" t="s">
        <v>675</v>
      </c>
    </row>
    <row r="15" spans="1:115">
      <c r="A15" s="35" t="s">
        <v>7</v>
      </c>
      <c r="B15" t="s">
        <v>676</v>
      </c>
      <c r="C15" t="s">
        <v>677</v>
      </c>
      <c r="D15" t="s">
        <v>678</v>
      </c>
      <c r="E15" t="s">
        <v>457</v>
      </c>
      <c r="F15" t="s">
        <v>679</v>
      </c>
      <c r="G15" t="s">
        <v>19</v>
      </c>
      <c r="H15" t="s">
        <v>19</v>
      </c>
      <c r="I15" t="s">
        <v>459</v>
      </c>
      <c r="J15" t="s">
        <v>680</v>
      </c>
      <c r="K15" t="s">
        <v>19</v>
      </c>
      <c r="L15" t="s">
        <v>19</v>
      </c>
      <c r="M15" t="s">
        <v>360</v>
      </c>
      <c r="N15" t="s">
        <v>30</v>
      </c>
      <c r="O15" t="s">
        <v>681</v>
      </c>
      <c r="P15" t="s">
        <v>416</v>
      </c>
      <c r="Q15" t="s">
        <v>416</v>
      </c>
      <c r="R15" t="s">
        <v>346</v>
      </c>
      <c r="S15" t="s">
        <v>461</v>
      </c>
      <c r="T15" t="s">
        <v>682</v>
      </c>
      <c r="U15" t="s">
        <v>683</v>
      </c>
      <c r="V15" t="s">
        <v>19</v>
      </c>
      <c r="W15" t="s">
        <v>19</v>
      </c>
      <c r="X15" t="s">
        <v>19</v>
      </c>
      <c r="Y15" t="s">
        <v>19</v>
      </c>
      <c r="Z15" t="s">
        <v>19</v>
      </c>
      <c r="AA15" t="s">
        <v>34</v>
      </c>
      <c r="AB15" t="s">
        <v>34</v>
      </c>
      <c r="AC15" t="s">
        <v>34</v>
      </c>
      <c r="AD15" t="s">
        <v>19</v>
      </c>
      <c r="AE15" t="s">
        <v>19</v>
      </c>
      <c r="AF15" t="s">
        <v>684</v>
      </c>
      <c r="AG15" t="s">
        <v>19</v>
      </c>
      <c r="AH15" t="s">
        <v>19</v>
      </c>
      <c r="AI15" t="s">
        <v>685</v>
      </c>
      <c r="AJ15" t="s">
        <v>19</v>
      </c>
      <c r="AK15" t="s">
        <v>19</v>
      </c>
      <c r="AL15" t="s">
        <v>19</v>
      </c>
      <c r="AM15" t="s">
        <v>686</v>
      </c>
      <c r="AN15" t="s">
        <v>687</v>
      </c>
      <c r="AO15" t="s">
        <v>688</v>
      </c>
      <c r="AP15" t="s">
        <v>82</v>
      </c>
      <c r="AQ15" t="s">
        <v>689</v>
      </c>
      <c r="AR15" t="s">
        <v>86</v>
      </c>
      <c r="AS15" t="s">
        <v>690</v>
      </c>
      <c r="AT15" t="s">
        <v>691</v>
      </c>
      <c r="AU15" t="s">
        <v>19</v>
      </c>
      <c r="AV15" t="s">
        <v>19</v>
      </c>
      <c r="AW15" t="s">
        <v>684</v>
      </c>
      <c r="AX15" t="s">
        <v>19</v>
      </c>
      <c r="AY15" t="s">
        <v>19</v>
      </c>
      <c r="AZ15" t="s">
        <v>692</v>
      </c>
      <c r="BA15" t="s">
        <v>19</v>
      </c>
      <c r="BB15" t="s">
        <v>19</v>
      </c>
      <c r="BC15" t="s">
        <v>19</v>
      </c>
      <c r="BD15" t="s">
        <v>686</v>
      </c>
      <c r="BE15" t="s">
        <v>687</v>
      </c>
      <c r="BF15" t="s">
        <v>688</v>
      </c>
      <c r="BG15" t="s">
        <v>82</v>
      </c>
      <c r="BH15" t="s">
        <v>689</v>
      </c>
      <c r="BI15" t="s">
        <v>86</v>
      </c>
      <c r="BJ15" t="s">
        <v>693</v>
      </c>
      <c r="BK15" t="s">
        <v>691</v>
      </c>
      <c r="BL15" t="s">
        <v>19</v>
      </c>
      <c r="BM15" t="s">
        <v>19</v>
      </c>
      <c r="BN15" t="s">
        <v>684</v>
      </c>
      <c r="BO15" t="s">
        <v>19</v>
      </c>
      <c r="BP15" t="s">
        <v>19</v>
      </c>
      <c r="BQ15" t="s">
        <v>685</v>
      </c>
      <c r="BR15" t="s">
        <v>19</v>
      </c>
      <c r="BS15" t="s">
        <v>694</v>
      </c>
      <c r="BT15" t="s">
        <v>19</v>
      </c>
      <c r="BU15" t="s">
        <v>686</v>
      </c>
      <c r="BV15" t="s">
        <v>687</v>
      </c>
      <c r="BW15" t="s">
        <v>688</v>
      </c>
      <c r="BX15" t="s">
        <v>82</v>
      </c>
      <c r="BY15" t="s">
        <v>689</v>
      </c>
      <c r="BZ15" t="s">
        <v>86</v>
      </c>
      <c r="CA15" t="s">
        <v>695</v>
      </c>
      <c r="CB15" t="s">
        <v>691</v>
      </c>
      <c r="CC15" t="s">
        <v>696</v>
      </c>
      <c r="CD15" t="s">
        <v>697</v>
      </c>
      <c r="CE15" t="s">
        <v>698</v>
      </c>
      <c r="CF15" t="s">
        <v>19</v>
      </c>
      <c r="CG15" t="s">
        <v>19</v>
      </c>
      <c r="CH15" t="s">
        <v>34</v>
      </c>
      <c r="CI15" t="s">
        <v>19</v>
      </c>
      <c r="CJ15" t="s">
        <v>424</v>
      </c>
      <c r="CK15" t="s">
        <v>316</v>
      </c>
      <c r="CL15" t="s">
        <v>34</v>
      </c>
      <c r="CM15" t="s">
        <v>34</v>
      </c>
      <c r="CN15" t="s">
        <v>34</v>
      </c>
      <c r="CO15" t="s">
        <v>34</v>
      </c>
      <c r="CP15" t="s">
        <v>34</v>
      </c>
      <c r="CQ15" t="s">
        <v>34</v>
      </c>
      <c r="CR15" t="s">
        <v>19</v>
      </c>
      <c r="CS15" t="s">
        <v>279</v>
      </c>
      <c r="CT15" t="s">
        <v>280</v>
      </c>
      <c r="CU15" t="s">
        <v>558</v>
      </c>
      <c r="CV15" t="s">
        <v>453</v>
      </c>
      <c r="CW15" t="s">
        <v>281</v>
      </c>
      <c r="CX15" t="s">
        <v>154</v>
      </c>
      <c r="CY15" t="s">
        <v>282</v>
      </c>
      <c r="CZ15" t="s">
        <v>283</v>
      </c>
      <c r="DA15" t="s">
        <v>699</v>
      </c>
      <c r="DB15" t="s">
        <v>700</v>
      </c>
      <c r="DC15" t="s">
        <v>19</v>
      </c>
      <c r="DD15" t="s">
        <v>439</v>
      </c>
      <c r="DE15" t="s">
        <v>701</v>
      </c>
      <c r="DF15" t="s">
        <v>287</v>
      </c>
      <c r="DG15" t="s">
        <v>288</v>
      </c>
      <c r="DH15" t="s">
        <v>498</v>
      </c>
      <c r="DI15" t="s">
        <v>702</v>
      </c>
      <c r="DJ15" t="s">
        <v>440</v>
      </c>
      <c r="DK15" t="s">
        <v>19</v>
      </c>
    </row>
    <row r="16" spans="1:115">
      <c r="A16" s="35" t="s">
        <v>7</v>
      </c>
      <c r="B16" t="s">
        <v>703</v>
      </c>
      <c r="C16" t="s">
        <v>704</v>
      </c>
      <c r="D16" t="s">
        <v>705</v>
      </c>
      <c r="E16" t="s">
        <v>457</v>
      </c>
      <c r="F16" t="s">
        <v>706</v>
      </c>
      <c r="G16" t="s">
        <v>19</v>
      </c>
      <c r="H16" t="s">
        <v>19</v>
      </c>
      <c r="I16" t="s">
        <v>459</v>
      </c>
      <c r="J16" t="s">
        <v>707</v>
      </c>
      <c r="K16" t="s">
        <v>19</v>
      </c>
      <c r="L16" t="s">
        <v>19</v>
      </c>
      <c r="M16" t="s">
        <v>360</v>
      </c>
      <c r="N16" t="s">
        <v>30</v>
      </c>
      <c r="O16" t="s">
        <v>708</v>
      </c>
      <c r="P16" t="s">
        <v>416</v>
      </c>
      <c r="Q16" t="s">
        <v>416</v>
      </c>
      <c r="R16" t="s">
        <v>346</v>
      </c>
      <c r="S16" t="s">
        <v>461</v>
      </c>
      <c r="T16" t="s">
        <v>709</v>
      </c>
      <c r="U16" t="s">
        <v>710</v>
      </c>
      <c r="V16" t="s">
        <v>19</v>
      </c>
      <c r="W16" t="s">
        <v>19</v>
      </c>
      <c r="X16" t="s">
        <v>19</v>
      </c>
      <c r="Y16" t="s">
        <v>19</v>
      </c>
      <c r="Z16" t="s">
        <v>19</v>
      </c>
      <c r="AA16" t="s">
        <v>34</v>
      </c>
      <c r="AB16" t="s">
        <v>34</v>
      </c>
      <c r="AC16" t="s">
        <v>34</v>
      </c>
      <c r="AD16" t="s">
        <v>19</v>
      </c>
      <c r="AE16" t="s">
        <v>19</v>
      </c>
      <c r="AF16" t="s">
        <v>711</v>
      </c>
      <c r="AG16" t="s">
        <v>360</v>
      </c>
      <c r="AH16" t="s">
        <v>19</v>
      </c>
      <c r="AI16" t="s">
        <v>19</v>
      </c>
      <c r="AJ16" t="s">
        <v>19</v>
      </c>
      <c r="AK16" t="s">
        <v>19</v>
      </c>
      <c r="AL16" t="s">
        <v>19</v>
      </c>
      <c r="AM16" t="s">
        <v>418</v>
      </c>
      <c r="AN16" t="s">
        <v>712</v>
      </c>
      <c r="AO16" t="s">
        <v>506</v>
      </c>
      <c r="AP16" t="s">
        <v>713</v>
      </c>
      <c r="AQ16" t="s">
        <v>714</v>
      </c>
      <c r="AR16" t="s">
        <v>86</v>
      </c>
      <c r="AS16" t="s">
        <v>715</v>
      </c>
      <c r="AT16" t="s">
        <v>716</v>
      </c>
      <c r="AU16" t="s">
        <v>19</v>
      </c>
      <c r="AV16" t="s">
        <v>19</v>
      </c>
      <c r="AW16" t="s">
        <v>717</v>
      </c>
      <c r="AX16" t="s">
        <v>19</v>
      </c>
      <c r="AY16" t="s">
        <v>19</v>
      </c>
      <c r="AZ16" t="s">
        <v>718</v>
      </c>
      <c r="BA16" t="s">
        <v>19</v>
      </c>
      <c r="BB16" t="s">
        <v>719</v>
      </c>
      <c r="BC16" t="s">
        <v>19</v>
      </c>
      <c r="BD16" t="s">
        <v>720</v>
      </c>
      <c r="BE16" t="s">
        <v>721</v>
      </c>
      <c r="BF16" t="s">
        <v>721</v>
      </c>
      <c r="BG16" t="s">
        <v>82</v>
      </c>
      <c r="BH16" t="s">
        <v>722</v>
      </c>
      <c r="BI16" t="s">
        <v>86</v>
      </c>
      <c r="BJ16" t="s">
        <v>723</v>
      </c>
      <c r="BK16" t="s">
        <v>724</v>
      </c>
      <c r="BL16" t="s">
        <v>725</v>
      </c>
      <c r="BM16" t="s">
        <v>19</v>
      </c>
      <c r="BN16" t="s">
        <v>717</v>
      </c>
      <c r="BO16" t="s">
        <v>19</v>
      </c>
      <c r="BP16" t="s">
        <v>19</v>
      </c>
      <c r="BQ16" t="s">
        <v>726</v>
      </c>
      <c r="BR16" t="s">
        <v>19</v>
      </c>
      <c r="BS16" t="s">
        <v>719</v>
      </c>
      <c r="BT16" t="s">
        <v>19</v>
      </c>
      <c r="BU16" t="s">
        <v>720</v>
      </c>
      <c r="BV16" t="s">
        <v>721</v>
      </c>
      <c r="BW16" t="s">
        <v>721</v>
      </c>
      <c r="BX16" t="s">
        <v>82</v>
      </c>
      <c r="BY16" t="s">
        <v>722</v>
      </c>
      <c r="BZ16" t="s">
        <v>86</v>
      </c>
      <c r="CA16" t="s">
        <v>727</v>
      </c>
      <c r="CB16" t="s">
        <v>728</v>
      </c>
      <c r="CC16" t="s">
        <v>729</v>
      </c>
      <c r="CD16" t="s">
        <v>19</v>
      </c>
      <c r="CE16" t="s">
        <v>730</v>
      </c>
      <c r="CF16" t="s">
        <v>19</v>
      </c>
      <c r="CG16" t="s">
        <v>19</v>
      </c>
      <c r="CH16" t="s">
        <v>34</v>
      </c>
      <c r="CI16" t="s">
        <v>19</v>
      </c>
      <c r="CJ16" t="s">
        <v>424</v>
      </c>
      <c r="CK16" t="s">
        <v>316</v>
      </c>
      <c r="CL16" t="s">
        <v>34</v>
      </c>
      <c r="CM16" t="s">
        <v>34</v>
      </c>
      <c r="CN16" t="s">
        <v>34</v>
      </c>
      <c r="CO16" t="s">
        <v>34</v>
      </c>
      <c r="CP16" t="s">
        <v>34</v>
      </c>
      <c r="CQ16" t="s">
        <v>34</v>
      </c>
      <c r="CR16" t="s">
        <v>19</v>
      </c>
      <c r="CS16" t="s">
        <v>279</v>
      </c>
      <c r="CT16" t="s">
        <v>280</v>
      </c>
      <c r="CU16" t="s">
        <v>731</v>
      </c>
      <c r="CV16" t="s">
        <v>453</v>
      </c>
      <c r="CW16" t="s">
        <v>281</v>
      </c>
      <c r="CX16" t="s">
        <v>154</v>
      </c>
      <c r="CY16" t="s">
        <v>282</v>
      </c>
      <c r="CZ16" t="s">
        <v>283</v>
      </c>
      <c r="DA16" t="s">
        <v>732</v>
      </c>
      <c r="DB16" t="s">
        <v>733</v>
      </c>
      <c r="DC16" t="s">
        <v>19</v>
      </c>
      <c r="DD16" t="s">
        <v>439</v>
      </c>
      <c r="DE16" t="s">
        <v>734</v>
      </c>
      <c r="DF16" t="s">
        <v>287</v>
      </c>
      <c r="DG16" t="s">
        <v>288</v>
      </c>
      <c r="DH16" t="s">
        <v>19</v>
      </c>
      <c r="DI16" t="s">
        <v>735</v>
      </c>
      <c r="DJ16" t="s">
        <v>736</v>
      </c>
      <c r="DK16" t="s">
        <v>19</v>
      </c>
    </row>
    <row r="17" spans="1:115">
      <c r="A17" s="35" t="s">
        <v>7</v>
      </c>
      <c r="B17" t="s">
        <v>737</v>
      </c>
      <c r="C17" t="s">
        <v>738</v>
      </c>
      <c r="D17" t="s">
        <v>739</v>
      </c>
      <c r="E17" t="s">
        <v>15</v>
      </c>
      <c r="F17" t="s">
        <v>740</v>
      </c>
      <c r="G17" t="s">
        <v>19</v>
      </c>
      <c r="H17" t="s">
        <v>19</v>
      </c>
      <c r="I17" t="s">
        <v>22</v>
      </c>
      <c r="J17" t="s">
        <v>741</v>
      </c>
      <c r="K17" t="s">
        <v>19</v>
      </c>
      <c r="L17" t="s">
        <v>19</v>
      </c>
      <c r="M17" t="s">
        <v>370</v>
      </c>
      <c r="N17" t="s">
        <v>30</v>
      </c>
      <c r="O17" t="s">
        <v>742</v>
      </c>
      <c r="P17" t="s">
        <v>416</v>
      </c>
      <c r="Q17" t="s">
        <v>416</v>
      </c>
      <c r="R17" t="s">
        <v>38</v>
      </c>
      <c r="S17" t="s">
        <v>40</v>
      </c>
      <c r="T17" t="s">
        <v>743</v>
      </c>
      <c r="U17" t="s">
        <v>744</v>
      </c>
      <c r="V17" t="s">
        <v>19</v>
      </c>
      <c r="W17" t="s">
        <v>19</v>
      </c>
      <c r="X17" t="s">
        <v>19</v>
      </c>
      <c r="Y17" t="s">
        <v>19</v>
      </c>
      <c r="Z17" t="s">
        <v>19</v>
      </c>
      <c r="AA17" t="s">
        <v>34</v>
      </c>
      <c r="AB17" t="s">
        <v>34</v>
      </c>
      <c r="AC17" t="s">
        <v>34</v>
      </c>
      <c r="AD17" t="s">
        <v>19</v>
      </c>
      <c r="AE17" t="s">
        <v>19</v>
      </c>
      <c r="AF17" t="s">
        <v>745</v>
      </c>
      <c r="AG17" t="s">
        <v>19</v>
      </c>
      <c r="AH17" t="s">
        <v>19</v>
      </c>
      <c r="AI17" t="s">
        <v>746</v>
      </c>
      <c r="AJ17" t="s">
        <v>19</v>
      </c>
      <c r="AK17" t="s">
        <v>747</v>
      </c>
      <c r="AL17" t="s">
        <v>19</v>
      </c>
      <c r="AM17" t="s">
        <v>748</v>
      </c>
      <c r="AN17" t="s">
        <v>450</v>
      </c>
      <c r="AO17" t="s">
        <v>451</v>
      </c>
      <c r="AP17" t="s">
        <v>82</v>
      </c>
      <c r="AQ17" t="s">
        <v>337</v>
      </c>
      <c r="AR17" t="s">
        <v>86</v>
      </c>
      <c r="AS17" t="s">
        <v>749</v>
      </c>
      <c r="AT17" t="s">
        <v>452</v>
      </c>
      <c r="AU17" t="s">
        <v>19</v>
      </c>
      <c r="AV17" t="s">
        <v>19</v>
      </c>
      <c r="AW17" t="s">
        <v>745</v>
      </c>
      <c r="AX17" t="s">
        <v>19</v>
      </c>
      <c r="AY17" t="s">
        <v>19</v>
      </c>
      <c r="AZ17" t="s">
        <v>746</v>
      </c>
      <c r="BA17" t="s">
        <v>19</v>
      </c>
      <c r="BB17" t="s">
        <v>747</v>
      </c>
      <c r="BC17" t="s">
        <v>19</v>
      </c>
      <c r="BD17" t="s">
        <v>748</v>
      </c>
      <c r="BE17" t="s">
        <v>450</v>
      </c>
      <c r="BF17" t="s">
        <v>451</v>
      </c>
      <c r="BG17" t="s">
        <v>82</v>
      </c>
      <c r="BH17" t="s">
        <v>337</v>
      </c>
      <c r="BI17" t="s">
        <v>86</v>
      </c>
      <c r="BJ17" t="s">
        <v>749</v>
      </c>
      <c r="BK17" t="s">
        <v>452</v>
      </c>
      <c r="BL17" t="s">
        <v>19</v>
      </c>
      <c r="BM17" t="s">
        <v>19</v>
      </c>
      <c r="BN17" t="s">
        <v>19</v>
      </c>
      <c r="BO17" t="s">
        <v>19</v>
      </c>
      <c r="BP17" t="s">
        <v>19</v>
      </c>
      <c r="BQ17" t="s">
        <v>19</v>
      </c>
      <c r="BR17" t="s">
        <v>19</v>
      </c>
      <c r="BS17" t="s">
        <v>19</v>
      </c>
      <c r="BT17" t="s">
        <v>19</v>
      </c>
      <c r="BU17" t="s">
        <v>19</v>
      </c>
      <c r="BV17" t="s">
        <v>19</v>
      </c>
      <c r="BW17" t="s">
        <v>19</v>
      </c>
      <c r="BX17" t="s">
        <v>19</v>
      </c>
      <c r="BY17" t="s">
        <v>19</v>
      </c>
      <c r="BZ17" t="s">
        <v>19</v>
      </c>
      <c r="CA17" t="s">
        <v>19</v>
      </c>
      <c r="CB17" t="s">
        <v>19</v>
      </c>
      <c r="CC17" t="s">
        <v>750</v>
      </c>
      <c r="CD17" t="s">
        <v>751</v>
      </c>
      <c r="CE17" t="s">
        <v>19</v>
      </c>
      <c r="CF17" t="s">
        <v>19</v>
      </c>
      <c r="CG17" t="s">
        <v>19</v>
      </c>
      <c r="CH17" t="s">
        <v>34</v>
      </c>
      <c r="CI17" t="s">
        <v>19</v>
      </c>
      <c r="CJ17" t="s">
        <v>424</v>
      </c>
      <c r="CK17" t="s">
        <v>316</v>
      </c>
      <c r="CL17" t="s">
        <v>34</v>
      </c>
      <c r="CM17" t="s">
        <v>34</v>
      </c>
      <c r="CN17" t="s">
        <v>34</v>
      </c>
      <c r="CO17" t="s">
        <v>34</v>
      </c>
      <c r="CP17" t="s">
        <v>34</v>
      </c>
      <c r="CQ17" t="s">
        <v>34</v>
      </c>
      <c r="CR17" t="s">
        <v>19</v>
      </c>
      <c r="CS17" t="s">
        <v>279</v>
      </c>
      <c r="CT17" t="s">
        <v>280</v>
      </c>
      <c r="CU17" t="s">
        <v>752</v>
      </c>
      <c r="CV17" t="s">
        <v>453</v>
      </c>
      <c r="CW17" t="s">
        <v>281</v>
      </c>
      <c r="CX17" t="s">
        <v>154</v>
      </c>
      <c r="CY17" t="s">
        <v>282</v>
      </c>
      <c r="CZ17" t="s">
        <v>283</v>
      </c>
      <c r="DA17" t="s">
        <v>753</v>
      </c>
      <c r="DB17" t="s">
        <v>299</v>
      </c>
      <c r="DC17" t="s">
        <v>19</v>
      </c>
      <c r="DD17" t="s">
        <v>439</v>
      </c>
      <c r="DE17" t="s">
        <v>754</v>
      </c>
      <c r="DF17" t="s">
        <v>287</v>
      </c>
      <c r="DG17" t="s">
        <v>288</v>
      </c>
      <c r="DH17" t="s">
        <v>19</v>
      </c>
      <c r="DI17" t="s">
        <v>755</v>
      </c>
      <c r="DJ17" t="s">
        <v>756</v>
      </c>
      <c r="DK17" t="s">
        <v>19</v>
      </c>
    </row>
    <row r="18" spans="1:115">
      <c r="A18" s="35" t="s">
        <v>7</v>
      </c>
      <c r="B18" t="s">
        <v>757</v>
      </c>
      <c r="C18" t="s">
        <v>758</v>
      </c>
      <c r="D18" t="s">
        <v>759</v>
      </c>
      <c r="E18" t="s">
        <v>15</v>
      </c>
      <c r="F18" t="s">
        <v>760</v>
      </c>
      <c r="G18" t="s">
        <v>19</v>
      </c>
      <c r="H18" t="s">
        <v>19</v>
      </c>
      <c r="I18" t="s">
        <v>22</v>
      </c>
      <c r="J18" t="s">
        <v>761</v>
      </c>
      <c r="K18" t="s">
        <v>19</v>
      </c>
      <c r="L18" t="s">
        <v>19</v>
      </c>
      <c r="M18" t="s">
        <v>28</v>
      </c>
      <c r="N18" t="s">
        <v>30</v>
      </c>
      <c r="O18" t="s">
        <v>762</v>
      </c>
      <c r="P18" t="s">
        <v>416</v>
      </c>
      <c r="Q18" t="s">
        <v>416</v>
      </c>
      <c r="R18" t="s">
        <v>38</v>
      </c>
      <c r="S18" t="s">
        <v>40</v>
      </c>
      <c r="T18" t="s">
        <v>19</v>
      </c>
      <c r="U18" t="s">
        <v>19</v>
      </c>
      <c r="V18" t="s">
        <v>19</v>
      </c>
      <c r="W18" t="s">
        <v>19</v>
      </c>
      <c r="X18" t="s">
        <v>19</v>
      </c>
      <c r="Y18" t="s">
        <v>19</v>
      </c>
      <c r="Z18" t="s">
        <v>19</v>
      </c>
      <c r="AA18" t="s">
        <v>34</v>
      </c>
      <c r="AB18" t="s">
        <v>34</v>
      </c>
      <c r="AC18" t="s">
        <v>34</v>
      </c>
      <c r="AD18" t="s">
        <v>19</v>
      </c>
      <c r="AE18" t="s">
        <v>19</v>
      </c>
      <c r="AF18" t="s">
        <v>374</v>
      </c>
      <c r="AG18" t="s">
        <v>19</v>
      </c>
      <c r="AH18" t="s">
        <v>19</v>
      </c>
      <c r="AI18" t="s">
        <v>19</v>
      </c>
      <c r="AJ18" t="s">
        <v>19</v>
      </c>
      <c r="AK18" t="s">
        <v>19</v>
      </c>
      <c r="AL18" t="s">
        <v>19</v>
      </c>
      <c r="AM18" t="s">
        <v>492</v>
      </c>
      <c r="AN18" t="s">
        <v>493</v>
      </c>
      <c r="AO18" t="s">
        <v>494</v>
      </c>
      <c r="AP18" t="s">
        <v>82</v>
      </c>
      <c r="AQ18" t="s">
        <v>349</v>
      </c>
      <c r="AR18" t="s">
        <v>86</v>
      </c>
      <c r="AS18" t="s">
        <v>375</v>
      </c>
      <c r="AT18" t="s">
        <v>495</v>
      </c>
      <c r="AU18" t="s">
        <v>19</v>
      </c>
      <c r="AV18" t="s">
        <v>19</v>
      </c>
      <c r="AW18" t="s">
        <v>374</v>
      </c>
      <c r="AX18" t="s">
        <v>19</v>
      </c>
      <c r="AY18" t="s">
        <v>19</v>
      </c>
      <c r="AZ18" t="s">
        <v>19</v>
      </c>
      <c r="BA18" t="s">
        <v>19</v>
      </c>
      <c r="BB18" t="s">
        <v>19</v>
      </c>
      <c r="BC18" t="s">
        <v>19</v>
      </c>
      <c r="BD18" t="s">
        <v>492</v>
      </c>
      <c r="BE18" t="s">
        <v>493</v>
      </c>
      <c r="BF18" t="s">
        <v>494</v>
      </c>
      <c r="BG18" t="s">
        <v>82</v>
      </c>
      <c r="BH18" t="s">
        <v>349</v>
      </c>
      <c r="BI18" t="s">
        <v>86</v>
      </c>
      <c r="BJ18" t="s">
        <v>375</v>
      </c>
      <c r="BK18" t="s">
        <v>495</v>
      </c>
      <c r="BL18" t="s">
        <v>19</v>
      </c>
      <c r="BM18" t="s">
        <v>19</v>
      </c>
      <c r="BN18" t="s">
        <v>19</v>
      </c>
      <c r="BO18" t="s">
        <v>19</v>
      </c>
      <c r="BP18" t="s">
        <v>19</v>
      </c>
      <c r="BQ18" t="s">
        <v>19</v>
      </c>
      <c r="BR18" t="s">
        <v>19</v>
      </c>
      <c r="BS18" t="s">
        <v>19</v>
      </c>
      <c r="BT18" t="s">
        <v>19</v>
      </c>
      <c r="BU18" t="s">
        <v>19</v>
      </c>
      <c r="BV18" t="s">
        <v>19</v>
      </c>
      <c r="BW18" t="s">
        <v>19</v>
      </c>
      <c r="BX18" t="s">
        <v>19</v>
      </c>
      <c r="BY18" t="s">
        <v>19</v>
      </c>
      <c r="BZ18" t="s">
        <v>19</v>
      </c>
      <c r="CA18" t="s">
        <v>19</v>
      </c>
      <c r="CB18" t="s">
        <v>19</v>
      </c>
      <c r="CC18" t="s">
        <v>376</v>
      </c>
      <c r="CD18" t="s">
        <v>19</v>
      </c>
      <c r="CE18" t="s">
        <v>19</v>
      </c>
      <c r="CF18" t="s">
        <v>19</v>
      </c>
      <c r="CG18" t="s">
        <v>19</v>
      </c>
      <c r="CH18" t="s">
        <v>34</v>
      </c>
      <c r="CI18" t="s">
        <v>19</v>
      </c>
      <c r="CJ18" t="s">
        <v>424</v>
      </c>
      <c r="CK18" t="s">
        <v>316</v>
      </c>
      <c r="CL18" t="s">
        <v>34</v>
      </c>
      <c r="CM18" t="s">
        <v>34</v>
      </c>
      <c r="CN18" t="s">
        <v>34</v>
      </c>
      <c r="CO18" t="s">
        <v>34</v>
      </c>
      <c r="CP18" t="s">
        <v>34</v>
      </c>
      <c r="CQ18" t="s">
        <v>34</v>
      </c>
      <c r="CR18" t="s">
        <v>19</v>
      </c>
      <c r="CS18" t="s">
        <v>279</v>
      </c>
      <c r="CT18" t="s">
        <v>280</v>
      </c>
      <c r="CU18" t="s">
        <v>637</v>
      </c>
      <c r="CV18" t="s">
        <v>453</v>
      </c>
      <c r="CW18" t="s">
        <v>281</v>
      </c>
      <c r="CX18" t="s">
        <v>154</v>
      </c>
      <c r="CY18" t="s">
        <v>282</v>
      </c>
      <c r="CZ18" t="s">
        <v>283</v>
      </c>
      <c r="DA18" t="s">
        <v>496</v>
      </c>
      <c r="DB18" t="s">
        <v>299</v>
      </c>
      <c r="DC18" t="s">
        <v>19</v>
      </c>
      <c r="DD18" t="s">
        <v>285</v>
      </c>
      <c r="DE18" t="s">
        <v>763</v>
      </c>
      <c r="DF18" t="s">
        <v>287</v>
      </c>
      <c r="DG18" t="s">
        <v>484</v>
      </c>
      <c r="DH18" t="s">
        <v>19</v>
      </c>
      <c r="DI18" t="s">
        <v>764</v>
      </c>
      <c r="DJ18" t="s">
        <v>19</v>
      </c>
      <c r="DK18" t="s">
        <v>19</v>
      </c>
    </row>
    <row r="19" spans="1:115">
      <c r="A19" s="35" t="s">
        <v>7</v>
      </c>
      <c r="B19" t="s">
        <v>765</v>
      </c>
      <c r="C19" t="s">
        <v>766</v>
      </c>
      <c r="D19" t="s">
        <v>767</v>
      </c>
      <c r="E19" t="s">
        <v>15</v>
      </c>
      <c r="F19" t="s">
        <v>768</v>
      </c>
      <c r="G19" t="s">
        <v>19</v>
      </c>
      <c r="H19" t="s">
        <v>19</v>
      </c>
      <c r="I19" t="s">
        <v>22</v>
      </c>
      <c r="J19" t="s">
        <v>769</v>
      </c>
      <c r="K19" t="s">
        <v>19</v>
      </c>
      <c r="L19" t="s">
        <v>19</v>
      </c>
      <c r="M19" t="s">
        <v>28</v>
      </c>
      <c r="N19" t="s">
        <v>30</v>
      </c>
      <c r="O19" t="s">
        <v>770</v>
      </c>
      <c r="P19" t="s">
        <v>416</v>
      </c>
      <c r="Q19" t="s">
        <v>416</v>
      </c>
      <c r="R19" t="s">
        <v>38</v>
      </c>
      <c r="S19" t="s">
        <v>40</v>
      </c>
      <c r="T19" t="s">
        <v>771</v>
      </c>
      <c r="U19" t="s">
        <v>772</v>
      </c>
      <c r="V19" t="s">
        <v>19</v>
      </c>
      <c r="W19" t="s">
        <v>19</v>
      </c>
      <c r="X19" t="s">
        <v>19</v>
      </c>
      <c r="Y19" t="s">
        <v>19</v>
      </c>
      <c r="Z19" t="s">
        <v>19</v>
      </c>
      <c r="AA19" t="s">
        <v>34</v>
      </c>
      <c r="AB19" t="s">
        <v>34</v>
      </c>
      <c r="AC19" t="s">
        <v>34</v>
      </c>
      <c r="AD19" t="s">
        <v>773</v>
      </c>
      <c r="AE19" t="s">
        <v>19</v>
      </c>
      <c r="AF19" t="s">
        <v>774</v>
      </c>
      <c r="AG19" t="s">
        <v>19</v>
      </c>
      <c r="AH19" t="s">
        <v>19</v>
      </c>
      <c r="AI19" t="s">
        <v>775</v>
      </c>
      <c r="AJ19" t="s">
        <v>19</v>
      </c>
      <c r="AK19" t="s">
        <v>776</v>
      </c>
      <c r="AL19" t="s">
        <v>19</v>
      </c>
      <c r="AM19" t="s">
        <v>574</v>
      </c>
      <c r="AN19" t="s">
        <v>550</v>
      </c>
      <c r="AO19" t="s">
        <v>551</v>
      </c>
      <c r="AP19" t="s">
        <v>82</v>
      </c>
      <c r="AQ19" t="s">
        <v>322</v>
      </c>
      <c r="AR19" t="s">
        <v>86</v>
      </c>
      <c r="AS19" t="s">
        <v>777</v>
      </c>
      <c r="AT19" t="s">
        <v>576</v>
      </c>
      <c r="AU19" t="s">
        <v>773</v>
      </c>
      <c r="AV19" t="s">
        <v>19</v>
      </c>
      <c r="AW19" t="s">
        <v>774</v>
      </c>
      <c r="AX19" t="s">
        <v>19</v>
      </c>
      <c r="AY19" t="s">
        <v>19</v>
      </c>
      <c r="AZ19" t="s">
        <v>775</v>
      </c>
      <c r="BA19" t="s">
        <v>19</v>
      </c>
      <c r="BB19" t="s">
        <v>776</v>
      </c>
      <c r="BC19" t="s">
        <v>19</v>
      </c>
      <c r="BD19" t="s">
        <v>574</v>
      </c>
      <c r="BE19" t="s">
        <v>550</v>
      </c>
      <c r="BF19" t="s">
        <v>551</v>
      </c>
      <c r="BG19" t="s">
        <v>82</v>
      </c>
      <c r="BH19" t="s">
        <v>322</v>
      </c>
      <c r="BI19" t="s">
        <v>86</v>
      </c>
      <c r="BJ19" t="s">
        <v>777</v>
      </c>
      <c r="BK19" t="s">
        <v>576</v>
      </c>
      <c r="BL19" t="s">
        <v>773</v>
      </c>
      <c r="BM19" t="s">
        <v>19</v>
      </c>
      <c r="BN19" t="s">
        <v>774</v>
      </c>
      <c r="BO19" t="s">
        <v>19</v>
      </c>
      <c r="BP19" t="s">
        <v>19</v>
      </c>
      <c r="BQ19" t="s">
        <v>775</v>
      </c>
      <c r="BR19" t="s">
        <v>19</v>
      </c>
      <c r="BS19" t="s">
        <v>776</v>
      </c>
      <c r="BT19" t="s">
        <v>19</v>
      </c>
      <c r="BU19" t="s">
        <v>574</v>
      </c>
      <c r="BV19" t="s">
        <v>550</v>
      </c>
      <c r="BW19" t="s">
        <v>551</v>
      </c>
      <c r="BX19" t="s">
        <v>82</v>
      </c>
      <c r="BY19" t="s">
        <v>322</v>
      </c>
      <c r="BZ19" t="s">
        <v>86</v>
      </c>
      <c r="CA19" t="s">
        <v>777</v>
      </c>
      <c r="CB19" t="s">
        <v>576</v>
      </c>
      <c r="CC19" t="s">
        <v>778</v>
      </c>
      <c r="CD19" t="s">
        <v>19</v>
      </c>
      <c r="CE19" t="s">
        <v>19</v>
      </c>
      <c r="CF19" t="s">
        <v>779</v>
      </c>
      <c r="CG19" t="s">
        <v>19</v>
      </c>
      <c r="CH19" t="s">
        <v>34</v>
      </c>
      <c r="CI19" t="s">
        <v>19</v>
      </c>
      <c r="CJ19" t="s">
        <v>424</v>
      </c>
      <c r="CK19" t="s">
        <v>316</v>
      </c>
      <c r="CL19" t="s">
        <v>34</v>
      </c>
      <c r="CM19" t="s">
        <v>34</v>
      </c>
      <c r="CN19" t="s">
        <v>34</v>
      </c>
      <c r="CO19" t="s">
        <v>34</v>
      </c>
      <c r="CP19" t="s">
        <v>34</v>
      </c>
      <c r="CQ19" t="s">
        <v>34</v>
      </c>
      <c r="CR19" t="s">
        <v>19</v>
      </c>
      <c r="CS19" t="s">
        <v>279</v>
      </c>
      <c r="CT19" t="s">
        <v>280</v>
      </c>
      <c r="CU19" t="s">
        <v>780</v>
      </c>
      <c r="CV19" t="s">
        <v>453</v>
      </c>
      <c r="CW19" t="s">
        <v>281</v>
      </c>
      <c r="CX19" t="s">
        <v>154</v>
      </c>
      <c r="CY19" t="s">
        <v>282</v>
      </c>
      <c r="CZ19" t="s">
        <v>283</v>
      </c>
      <c r="DA19" t="s">
        <v>781</v>
      </c>
      <c r="DB19" t="s">
        <v>299</v>
      </c>
      <c r="DC19" t="s">
        <v>19</v>
      </c>
      <c r="DD19" t="s">
        <v>511</v>
      </c>
      <c r="DE19" t="s">
        <v>782</v>
      </c>
      <c r="DF19" t="s">
        <v>287</v>
      </c>
      <c r="DG19" t="s">
        <v>288</v>
      </c>
      <c r="DH19" t="s">
        <v>19</v>
      </c>
      <c r="DI19" t="s">
        <v>783</v>
      </c>
      <c r="DJ19" t="s">
        <v>156</v>
      </c>
      <c r="DK19" t="s">
        <v>19</v>
      </c>
    </row>
    <row r="20" spans="1:115">
      <c r="A20" s="35" t="s">
        <v>7</v>
      </c>
      <c r="B20" t="s">
        <v>784</v>
      </c>
      <c r="C20" t="s">
        <v>785</v>
      </c>
      <c r="D20" t="s">
        <v>786</v>
      </c>
      <c r="E20" t="s">
        <v>15</v>
      </c>
      <c r="F20" t="s">
        <v>787</v>
      </c>
      <c r="G20" t="s">
        <v>19</v>
      </c>
      <c r="H20" t="s">
        <v>19</v>
      </c>
      <c r="I20" t="s">
        <v>22</v>
      </c>
      <c r="J20" t="s">
        <v>788</v>
      </c>
      <c r="K20" t="s">
        <v>19</v>
      </c>
      <c r="L20" t="s">
        <v>19</v>
      </c>
      <c r="M20" t="s">
        <v>360</v>
      </c>
      <c r="N20" t="s">
        <v>30</v>
      </c>
      <c r="O20" t="s">
        <v>789</v>
      </c>
      <c r="P20" t="s">
        <v>416</v>
      </c>
      <c r="Q20" t="s">
        <v>416</v>
      </c>
      <c r="R20" t="s">
        <v>38</v>
      </c>
      <c r="S20" t="s">
        <v>40</v>
      </c>
      <c r="T20" t="s">
        <v>790</v>
      </c>
      <c r="U20" t="s">
        <v>791</v>
      </c>
      <c r="V20" t="s">
        <v>19</v>
      </c>
      <c r="W20" t="s">
        <v>19</v>
      </c>
      <c r="X20" t="s">
        <v>19</v>
      </c>
      <c r="Y20" t="s">
        <v>19</v>
      </c>
      <c r="Z20" t="s">
        <v>19</v>
      </c>
      <c r="AA20" t="s">
        <v>34</v>
      </c>
      <c r="AB20" t="s">
        <v>34</v>
      </c>
      <c r="AC20" t="s">
        <v>34</v>
      </c>
      <c r="AD20" t="s">
        <v>19</v>
      </c>
      <c r="AE20" t="s">
        <v>19</v>
      </c>
      <c r="AF20" t="s">
        <v>638</v>
      </c>
      <c r="AG20" t="s">
        <v>301</v>
      </c>
      <c r="AH20" t="s">
        <v>19</v>
      </c>
      <c r="AI20" t="s">
        <v>19</v>
      </c>
      <c r="AJ20" t="s">
        <v>19</v>
      </c>
      <c r="AK20" t="s">
        <v>19</v>
      </c>
      <c r="AL20" t="s">
        <v>19</v>
      </c>
      <c r="AM20" t="s">
        <v>19</v>
      </c>
      <c r="AN20" t="s">
        <v>792</v>
      </c>
      <c r="AO20" t="s">
        <v>793</v>
      </c>
      <c r="AP20" t="s">
        <v>507</v>
      </c>
      <c r="AQ20" t="s">
        <v>794</v>
      </c>
      <c r="AR20" t="s">
        <v>86</v>
      </c>
      <c r="AS20" t="s">
        <v>795</v>
      </c>
      <c r="AT20" t="s">
        <v>796</v>
      </c>
      <c r="AU20" t="s">
        <v>19</v>
      </c>
      <c r="AV20" t="s">
        <v>19</v>
      </c>
      <c r="AW20" t="s">
        <v>638</v>
      </c>
      <c r="AX20" t="s">
        <v>301</v>
      </c>
      <c r="AY20" t="s">
        <v>19</v>
      </c>
      <c r="AZ20" t="s">
        <v>19</v>
      </c>
      <c r="BA20" t="s">
        <v>19</v>
      </c>
      <c r="BB20" t="s">
        <v>19</v>
      </c>
      <c r="BC20" t="s">
        <v>19</v>
      </c>
      <c r="BD20" t="s">
        <v>19</v>
      </c>
      <c r="BE20" t="s">
        <v>792</v>
      </c>
      <c r="BF20" t="s">
        <v>793</v>
      </c>
      <c r="BG20" t="s">
        <v>507</v>
      </c>
      <c r="BH20" t="s">
        <v>794</v>
      </c>
      <c r="BI20" t="s">
        <v>86</v>
      </c>
      <c r="BJ20" t="s">
        <v>795</v>
      </c>
      <c r="BK20" t="s">
        <v>796</v>
      </c>
      <c r="BL20" t="s">
        <v>19</v>
      </c>
      <c r="BM20" t="s">
        <v>19</v>
      </c>
      <c r="BN20" t="s">
        <v>797</v>
      </c>
      <c r="BO20" t="s">
        <v>19</v>
      </c>
      <c r="BP20" t="s">
        <v>19</v>
      </c>
      <c r="BQ20" t="s">
        <v>19</v>
      </c>
      <c r="BR20" t="s">
        <v>19</v>
      </c>
      <c r="BS20" t="s">
        <v>19</v>
      </c>
      <c r="BT20" t="s">
        <v>798</v>
      </c>
      <c r="BU20" t="s">
        <v>799</v>
      </c>
      <c r="BV20" t="s">
        <v>800</v>
      </c>
      <c r="BW20" t="s">
        <v>432</v>
      </c>
      <c r="BX20" t="s">
        <v>82</v>
      </c>
      <c r="BY20" t="s">
        <v>322</v>
      </c>
      <c r="BZ20" t="s">
        <v>86</v>
      </c>
      <c r="CA20" t="s">
        <v>801</v>
      </c>
      <c r="CB20" t="s">
        <v>435</v>
      </c>
      <c r="CC20" t="s">
        <v>802</v>
      </c>
      <c r="CD20" t="s">
        <v>19</v>
      </c>
      <c r="CE20" t="s">
        <v>803</v>
      </c>
      <c r="CF20" t="s">
        <v>19</v>
      </c>
      <c r="CG20" t="s">
        <v>804</v>
      </c>
      <c r="CH20" t="s">
        <v>34</v>
      </c>
      <c r="CI20" t="s">
        <v>19</v>
      </c>
      <c r="CJ20" t="s">
        <v>424</v>
      </c>
      <c r="CK20" t="s">
        <v>316</v>
      </c>
      <c r="CL20" t="s">
        <v>34</v>
      </c>
      <c r="CM20" t="s">
        <v>34</v>
      </c>
      <c r="CN20" t="s">
        <v>34</v>
      </c>
      <c r="CO20" t="s">
        <v>34</v>
      </c>
      <c r="CP20" t="s">
        <v>34</v>
      </c>
      <c r="CQ20" t="s">
        <v>34</v>
      </c>
      <c r="CR20" t="s">
        <v>19</v>
      </c>
      <c r="CS20" t="s">
        <v>279</v>
      </c>
      <c r="CT20" t="s">
        <v>280</v>
      </c>
      <c r="CU20" t="s">
        <v>328</v>
      </c>
      <c r="CV20" t="s">
        <v>453</v>
      </c>
      <c r="CW20" t="s">
        <v>281</v>
      </c>
      <c r="CX20" t="s">
        <v>154</v>
      </c>
      <c r="CY20" t="s">
        <v>282</v>
      </c>
      <c r="CZ20" t="s">
        <v>283</v>
      </c>
      <c r="DA20" t="s">
        <v>805</v>
      </c>
      <c r="DB20" t="s">
        <v>806</v>
      </c>
      <c r="DC20" t="s">
        <v>19</v>
      </c>
      <c r="DD20" t="s">
        <v>511</v>
      </c>
      <c r="DE20" t="s">
        <v>807</v>
      </c>
      <c r="DF20" t="s">
        <v>287</v>
      </c>
      <c r="DG20" t="s">
        <v>288</v>
      </c>
      <c r="DH20" t="s">
        <v>19</v>
      </c>
      <c r="DI20" t="s">
        <v>808</v>
      </c>
      <c r="DJ20" t="s">
        <v>440</v>
      </c>
      <c r="DK20" t="s">
        <v>19</v>
      </c>
    </row>
    <row r="21" spans="1:115">
      <c r="A21" s="35" t="s">
        <v>7</v>
      </c>
      <c r="B21" t="s">
        <v>809</v>
      </c>
      <c r="C21" t="s">
        <v>512</v>
      </c>
      <c r="D21" t="s">
        <v>513</v>
      </c>
      <c r="E21" t="s">
        <v>15</v>
      </c>
      <c r="F21" t="s">
        <v>514</v>
      </c>
      <c r="G21" t="s">
        <v>19</v>
      </c>
      <c r="H21" t="s">
        <v>19</v>
      </c>
      <c r="I21" t="s">
        <v>22</v>
      </c>
      <c r="J21" t="s">
        <v>515</v>
      </c>
      <c r="K21" t="s">
        <v>19</v>
      </c>
      <c r="L21" t="s">
        <v>19</v>
      </c>
      <c r="M21" t="s">
        <v>28</v>
      </c>
      <c r="N21" t="s">
        <v>30</v>
      </c>
      <c r="O21" t="s">
        <v>391</v>
      </c>
      <c r="P21" t="s">
        <v>416</v>
      </c>
      <c r="Q21" t="s">
        <v>416</v>
      </c>
      <c r="R21" t="s">
        <v>38</v>
      </c>
      <c r="S21" t="s">
        <v>40</v>
      </c>
      <c r="T21" t="s">
        <v>392</v>
      </c>
      <c r="U21" t="s">
        <v>516</v>
      </c>
      <c r="V21" t="s">
        <v>19</v>
      </c>
      <c r="W21" t="s">
        <v>19</v>
      </c>
      <c r="X21" t="s">
        <v>19</v>
      </c>
      <c r="Y21" t="s">
        <v>19</v>
      </c>
      <c r="Z21" t="s">
        <v>19</v>
      </c>
      <c r="AA21" t="s">
        <v>34</v>
      </c>
      <c r="AB21" t="s">
        <v>34</v>
      </c>
      <c r="AC21" t="s">
        <v>34</v>
      </c>
      <c r="AD21" t="s">
        <v>19</v>
      </c>
      <c r="AE21" t="s">
        <v>19</v>
      </c>
      <c r="AF21" t="s">
        <v>393</v>
      </c>
      <c r="AG21" t="s">
        <v>19</v>
      </c>
      <c r="AH21" t="s">
        <v>19</v>
      </c>
      <c r="AI21" t="s">
        <v>19</v>
      </c>
      <c r="AJ21" t="s">
        <v>19</v>
      </c>
      <c r="AK21" t="s">
        <v>19</v>
      </c>
      <c r="AL21" t="s">
        <v>517</v>
      </c>
      <c r="AM21" t="s">
        <v>518</v>
      </c>
      <c r="AN21" t="s">
        <v>519</v>
      </c>
      <c r="AO21" t="s">
        <v>520</v>
      </c>
      <c r="AP21" t="s">
        <v>82</v>
      </c>
      <c r="AQ21" t="s">
        <v>394</v>
      </c>
      <c r="AR21" t="s">
        <v>86</v>
      </c>
      <c r="AS21" t="s">
        <v>395</v>
      </c>
      <c r="AT21" t="s">
        <v>521</v>
      </c>
      <c r="AU21" t="s">
        <v>19</v>
      </c>
      <c r="AV21" t="s">
        <v>19</v>
      </c>
      <c r="AW21" t="s">
        <v>393</v>
      </c>
      <c r="AX21" t="s">
        <v>19</v>
      </c>
      <c r="AY21" t="s">
        <v>19</v>
      </c>
      <c r="AZ21" t="s">
        <v>19</v>
      </c>
      <c r="BA21" t="s">
        <v>19</v>
      </c>
      <c r="BB21" t="s">
        <v>19</v>
      </c>
      <c r="BC21" t="s">
        <v>522</v>
      </c>
      <c r="BD21" t="s">
        <v>518</v>
      </c>
      <c r="BE21" t="s">
        <v>519</v>
      </c>
      <c r="BF21" t="s">
        <v>520</v>
      </c>
      <c r="BG21" t="s">
        <v>82</v>
      </c>
      <c r="BH21" t="s">
        <v>394</v>
      </c>
      <c r="BI21" t="s">
        <v>86</v>
      </c>
      <c r="BJ21" t="s">
        <v>396</v>
      </c>
      <c r="BK21" t="s">
        <v>521</v>
      </c>
      <c r="BL21" t="s">
        <v>523</v>
      </c>
      <c r="BM21" t="s">
        <v>19</v>
      </c>
      <c r="BN21" t="s">
        <v>393</v>
      </c>
      <c r="BO21" t="s">
        <v>19</v>
      </c>
      <c r="BP21" t="s">
        <v>19</v>
      </c>
      <c r="BQ21" t="s">
        <v>19</v>
      </c>
      <c r="BR21" t="s">
        <v>19</v>
      </c>
      <c r="BS21" t="s">
        <v>19</v>
      </c>
      <c r="BT21" t="s">
        <v>517</v>
      </c>
      <c r="BU21" t="s">
        <v>518</v>
      </c>
      <c r="BV21" t="s">
        <v>519</v>
      </c>
      <c r="BW21" t="s">
        <v>520</v>
      </c>
      <c r="BX21" t="s">
        <v>82</v>
      </c>
      <c r="BY21" t="s">
        <v>394</v>
      </c>
      <c r="BZ21" t="s">
        <v>86</v>
      </c>
      <c r="CA21" t="s">
        <v>395</v>
      </c>
      <c r="CB21" t="s">
        <v>521</v>
      </c>
      <c r="CC21" t="s">
        <v>397</v>
      </c>
      <c r="CD21" t="s">
        <v>19</v>
      </c>
      <c r="CE21" t="s">
        <v>398</v>
      </c>
      <c r="CF21" t="s">
        <v>399</v>
      </c>
      <c r="CG21" t="s">
        <v>524</v>
      </c>
      <c r="CH21" t="s">
        <v>34</v>
      </c>
      <c r="CI21" t="s">
        <v>19</v>
      </c>
      <c r="CJ21" t="s">
        <v>424</v>
      </c>
      <c r="CK21" t="s">
        <v>316</v>
      </c>
      <c r="CL21" t="s">
        <v>34</v>
      </c>
      <c r="CM21" t="s">
        <v>34</v>
      </c>
      <c r="CN21" t="s">
        <v>34</v>
      </c>
      <c r="CO21" t="s">
        <v>34</v>
      </c>
      <c r="CP21" t="s">
        <v>34</v>
      </c>
      <c r="CQ21" t="s">
        <v>34</v>
      </c>
      <c r="CR21" t="s">
        <v>19</v>
      </c>
      <c r="CS21" t="s">
        <v>279</v>
      </c>
      <c r="CT21" t="s">
        <v>400</v>
      </c>
      <c r="CU21" t="s">
        <v>401</v>
      </c>
      <c r="CV21" t="s">
        <v>453</v>
      </c>
      <c r="CW21" t="s">
        <v>281</v>
      </c>
      <c r="CX21" t="s">
        <v>154</v>
      </c>
      <c r="CY21" t="s">
        <v>282</v>
      </c>
      <c r="CZ21" t="s">
        <v>283</v>
      </c>
      <c r="DA21" t="s">
        <v>810</v>
      </c>
      <c r="DB21" t="s">
        <v>299</v>
      </c>
      <c r="DC21" t="s">
        <v>19</v>
      </c>
      <c r="DD21" t="s">
        <v>526</v>
      </c>
      <c r="DE21" t="s">
        <v>402</v>
      </c>
      <c r="DF21" t="s">
        <v>287</v>
      </c>
      <c r="DG21" t="s">
        <v>288</v>
      </c>
      <c r="DH21" t="s">
        <v>19</v>
      </c>
      <c r="DI21" t="s">
        <v>811</v>
      </c>
      <c r="DJ21" t="s">
        <v>156</v>
      </c>
      <c r="DK21" t="s">
        <v>19</v>
      </c>
    </row>
    <row r="22" spans="1:115">
      <c r="A22" s="35" t="s">
        <v>7</v>
      </c>
      <c r="B22" t="s">
        <v>812</v>
      </c>
      <c r="C22" t="s">
        <v>512</v>
      </c>
      <c r="D22" t="s">
        <v>513</v>
      </c>
      <c r="E22" t="s">
        <v>15</v>
      </c>
      <c r="F22" t="s">
        <v>514</v>
      </c>
      <c r="G22" t="s">
        <v>19</v>
      </c>
      <c r="H22" t="s">
        <v>19</v>
      </c>
      <c r="I22" t="s">
        <v>22</v>
      </c>
      <c r="J22" t="s">
        <v>515</v>
      </c>
      <c r="K22" t="s">
        <v>19</v>
      </c>
      <c r="L22" t="s">
        <v>19</v>
      </c>
      <c r="M22" t="s">
        <v>28</v>
      </c>
      <c r="N22" t="s">
        <v>30</v>
      </c>
      <c r="O22" t="s">
        <v>391</v>
      </c>
      <c r="P22" t="s">
        <v>416</v>
      </c>
      <c r="Q22" t="s">
        <v>416</v>
      </c>
      <c r="R22" t="s">
        <v>38</v>
      </c>
      <c r="S22" t="s">
        <v>40</v>
      </c>
      <c r="T22" t="s">
        <v>392</v>
      </c>
      <c r="U22" t="s">
        <v>516</v>
      </c>
      <c r="V22" t="s">
        <v>19</v>
      </c>
      <c r="W22" t="s">
        <v>19</v>
      </c>
      <c r="X22" t="s">
        <v>19</v>
      </c>
      <c r="Y22" t="s">
        <v>19</v>
      </c>
      <c r="Z22" t="s">
        <v>19</v>
      </c>
      <c r="AA22" t="s">
        <v>34</v>
      </c>
      <c r="AB22" t="s">
        <v>34</v>
      </c>
      <c r="AC22" t="s">
        <v>34</v>
      </c>
      <c r="AD22" t="s">
        <v>19</v>
      </c>
      <c r="AE22" t="s">
        <v>19</v>
      </c>
      <c r="AF22" t="s">
        <v>393</v>
      </c>
      <c r="AG22" t="s">
        <v>19</v>
      </c>
      <c r="AH22" t="s">
        <v>19</v>
      </c>
      <c r="AI22" t="s">
        <v>19</v>
      </c>
      <c r="AJ22" t="s">
        <v>19</v>
      </c>
      <c r="AK22" t="s">
        <v>19</v>
      </c>
      <c r="AL22" t="s">
        <v>517</v>
      </c>
      <c r="AM22" t="s">
        <v>518</v>
      </c>
      <c r="AN22" t="s">
        <v>519</v>
      </c>
      <c r="AO22" t="s">
        <v>520</v>
      </c>
      <c r="AP22" t="s">
        <v>82</v>
      </c>
      <c r="AQ22" t="s">
        <v>394</v>
      </c>
      <c r="AR22" t="s">
        <v>86</v>
      </c>
      <c r="AS22" t="s">
        <v>395</v>
      </c>
      <c r="AT22" t="s">
        <v>521</v>
      </c>
      <c r="AU22" t="s">
        <v>19</v>
      </c>
      <c r="AV22" t="s">
        <v>19</v>
      </c>
      <c r="AW22" t="s">
        <v>393</v>
      </c>
      <c r="AX22" t="s">
        <v>19</v>
      </c>
      <c r="AY22" t="s">
        <v>19</v>
      </c>
      <c r="AZ22" t="s">
        <v>19</v>
      </c>
      <c r="BA22" t="s">
        <v>19</v>
      </c>
      <c r="BB22" t="s">
        <v>19</v>
      </c>
      <c r="BC22" t="s">
        <v>522</v>
      </c>
      <c r="BD22" t="s">
        <v>518</v>
      </c>
      <c r="BE22" t="s">
        <v>519</v>
      </c>
      <c r="BF22" t="s">
        <v>520</v>
      </c>
      <c r="BG22" t="s">
        <v>82</v>
      </c>
      <c r="BH22" t="s">
        <v>394</v>
      </c>
      <c r="BI22" t="s">
        <v>86</v>
      </c>
      <c r="BJ22" t="s">
        <v>396</v>
      </c>
      <c r="BK22" t="s">
        <v>521</v>
      </c>
      <c r="BL22" t="s">
        <v>523</v>
      </c>
      <c r="BM22" t="s">
        <v>19</v>
      </c>
      <c r="BN22" t="s">
        <v>393</v>
      </c>
      <c r="BO22" t="s">
        <v>19</v>
      </c>
      <c r="BP22" t="s">
        <v>19</v>
      </c>
      <c r="BQ22" t="s">
        <v>19</v>
      </c>
      <c r="BR22" t="s">
        <v>19</v>
      </c>
      <c r="BS22" t="s">
        <v>19</v>
      </c>
      <c r="BT22" t="s">
        <v>517</v>
      </c>
      <c r="BU22" t="s">
        <v>518</v>
      </c>
      <c r="BV22" t="s">
        <v>519</v>
      </c>
      <c r="BW22" t="s">
        <v>520</v>
      </c>
      <c r="BX22" t="s">
        <v>82</v>
      </c>
      <c r="BY22" t="s">
        <v>394</v>
      </c>
      <c r="BZ22" t="s">
        <v>86</v>
      </c>
      <c r="CA22" t="s">
        <v>395</v>
      </c>
      <c r="CB22" t="s">
        <v>521</v>
      </c>
      <c r="CC22" t="s">
        <v>397</v>
      </c>
      <c r="CD22" t="s">
        <v>19</v>
      </c>
      <c r="CE22" t="s">
        <v>398</v>
      </c>
      <c r="CF22" t="s">
        <v>399</v>
      </c>
      <c r="CG22" t="s">
        <v>524</v>
      </c>
      <c r="CH22" t="s">
        <v>34</v>
      </c>
      <c r="CI22" t="s">
        <v>19</v>
      </c>
      <c r="CJ22" t="s">
        <v>424</v>
      </c>
      <c r="CK22" t="s">
        <v>316</v>
      </c>
      <c r="CL22" t="s">
        <v>34</v>
      </c>
      <c r="CM22" t="s">
        <v>34</v>
      </c>
      <c r="CN22" t="s">
        <v>34</v>
      </c>
      <c r="CO22" t="s">
        <v>34</v>
      </c>
      <c r="CP22" t="s">
        <v>34</v>
      </c>
      <c r="CQ22" t="s">
        <v>34</v>
      </c>
      <c r="CR22" t="s">
        <v>19</v>
      </c>
      <c r="CS22" t="s">
        <v>279</v>
      </c>
      <c r="CT22" t="s">
        <v>400</v>
      </c>
      <c r="CU22" t="s">
        <v>401</v>
      </c>
      <c r="CV22" t="s">
        <v>453</v>
      </c>
      <c r="CW22" t="s">
        <v>281</v>
      </c>
      <c r="CX22" t="s">
        <v>154</v>
      </c>
      <c r="CY22" t="s">
        <v>282</v>
      </c>
      <c r="CZ22" t="s">
        <v>813</v>
      </c>
      <c r="DA22" t="s">
        <v>814</v>
      </c>
      <c r="DB22" t="s">
        <v>815</v>
      </c>
      <c r="DC22" t="s">
        <v>19</v>
      </c>
      <c r="DD22" t="s">
        <v>526</v>
      </c>
      <c r="DE22" t="s">
        <v>402</v>
      </c>
      <c r="DF22" t="s">
        <v>287</v>
      </c>
      <c r="DG22" t="s">
        <v>288</v>
      </c>
      <c r="DH22" t="s">
        <v>19</v>
      </c>
      <c r="DI22" t="s">
        <v>816</v>
      </c>
      <c r="DJ22" t="s">
        <v>440</v>
      </c>
      <c r="DK22" t="s">
        <v>19</v>
      </c>
    </row>
    <row r="23" spans="1:115">
      <c r="A23" s="35" t="s">
        <v>7</v>
      </c>
      <c r="B23" t="s">
        <v>817</v>
      </c>
      <c r="C23" t="s">
        <v>818</v>
      </c>
      <c r="D23" t="s">
        <v>819</v>
      </c>
      <c r="E23" t="s">
        <v>457</v>
      </c>
      <c r="F23" t="s">
        <v>820</v>
      </c>
      <c r="G23" t="s">
        <v>19</v>
      </c>
      <c r="H23" t="s">
        <v>19</v>
      </c>
      <c r="I23" t="s">
        <v>459</v>
      </c>
      <c r="J23" t="s">
        <v>821</v>
      </c>
      <c r="K23" t="s">
        <v>19</v>
      </c>
      <c r="L23" t="s">
        <v>19</v>
      </c>
      <c r="M23" t="s">
        <v>28</v>
      </c>
      <c r="N23" t="s">
        <v>30</v>
      </c>
      <c r="O23" t="s">
        <v>822</v>
      </c>
      <c r="P23" t="s">
        <v>416</v>
      </c>
      <c r="Q23" t="s">
        <v>416</v>
      </c>
      <c r="R23" t="s">
        <v>346</v>
      </c>
      <c r="S23" t="s">
        <v>461</v>
      </c>
      <c r="T23" t="s">
        <v>823</v>
      </c>
      <c r="U23" t="s">
        <v>824</v>
      </c>
      <c r="V23" t="s">
        <v>19</v>
      </c>
      <c r="W23" t="s">
        <v>19</v>
      </c>
      <c r="X23" t="s">
        <v>19</v>
      </c>
      <c r="Y23" t="s">
        <v>19</v>
      </c>
      <c r="Z23" t="s">
        <v>19</v>
      </c>
      <c r="AA23" t="s">
        <v>34</v>
      </c>
      <c r="AB23" t="s">
        <v>34</v>
      </c>
      <c r="AC23" t="s">
        <v>34</v>
      </c>
      <c r="AD23" t="s">
        <v>825</v>
      </c>
      <c r="AE23" t="s">
        <v>19</v>
      </c>
      <c r="AF23" t="s">
        <v>826</v>
      </c>
      <c r="AG23" t="s">
        <v>19</v>
      </c>
      <c r="AH23" t="s">
        <v>19</v>
      </c>
      <c r="AI23" t="s">
        <v>19</v>
      </c>
      <c r="AJ23" t="s">
        <v>19</v>
      </c>
      <c r="AK23" t="s">
        <v>19</v>
      </c>
      <c r="AL23" t="s">
        <v>19</v>
      </c>
      <c r="AM23" t="s">
        <v>827</v>
      </c>
      <c r="AN23" t="s">
        <v>828</v>
      </c>
      <c r="AO23" t="s">
        <v>829</v>
      </c>
      <c r="AP23" t="s">
        <v>82</v>
      </c>
      <c r="AQ23" t="s">
        <v>830</v>
      </c>
      <c r="AR23" t="s">
        <v>86</v>
      </c>
      <c r="AS23" t="s">
        <v>831</v>
      </c>
      <c r="AT23" t="s">
        <v>832</v>
      </c>
      <c r="AU23" t="s">
        <v>19</v>
      </c>
      <c r="AV23" t="s">
        <v>19</v>
      </c>
      <c r="AW23" t="s">
        <v>826</v>
      </c>
      <c r="AX23" t="s">
        <v>19</v>
      </c>
      <c r="AY23" t="s">
        <v>19</v>
      </c>
      <c r="AZ23" t="s">
        <v>19</v>
      </c>
      <c r="BA23" t="s">
        <v>19</v>
      </c>
      <c r="BB23" t="s">
        <v>19</v>
      </c>
      <c r="BC23" t="s">
        <v>19</v>
      </c>
      <c r="BD23" t="s">
        <v>827</v>
      </c>
      <c r="BE23" t="s">
        <v>828</v>
      </c>
      <c r="BF23" t="s">
        <v>829</v>
      </c>
      <c r="BG23" t="s">
        <v>82</v>
      </c>
      <c r="BH23" t="s">
        <v>830</v>
      </c>
      <c r="BI23" t="s">
        <v>86</v>
      </c>
      <c r="BJ23" t="s">
        <v>831</v>
      </c>
      <c r="BK23" t="s">
        <v>832</v>
      </c>
      <c r="BL23" t="s">
        <v>825</v>
      </c>
      <c r="BM23" t="s">
        <v>19</v>
      </c>
      <c r="BN23" t="s">
        <v>826</v>
      </c>
      <c r="BO23" t="s">
        <v>19</v>
      </c>
      <c r="BP23" t="s">
        <v>19</v>
      </c>
      <c r="BQ23" t="s">
        <v>19</v>
      </c>
      <c r="BR23" t="s">
        <v>19</v>
      </c>
      <c r="BS23" t="s">
        <v>19</v>
      </c>
      <c r="BT23" t="s">
        <v>19</v>
      </c>
      <c r="BU23" t="s">
        <v>827</v>
      </c>
      <c r="BV23" t="s">
        <v>828</v>
      </c>
      <c r="BW23" t="s">
        <v>829</v>
      </c>
      <c r="BX23" t="s">
        <v>82</v>
      </c>
      <c r="BY23" t="s">
        <v>830</v>
      </c>
      <c r="BZ23" t="s">
        <v>86</v>
      </c>
      <c r="CA23" t="s">
        <v>831</v>
      </c>
      <c r="CB23" t="s">
        <v>832</v>
      </c>
      <c r="CC23" t="s">
        <v>833</v>
      </c>
      <c r="CD23" t="s">
        <v>19</v>
      </c>
      <c r="CE23" t="s">
        <v>834</v>
      </c>
      <c r="CF23" t="s">
        <v>835</v>
      </c>
      <c r="CG23" t="s">
        <v>836</v>
      </c>
      <c r="CH23" t="s">
        <v>34</v>
      </c>
      <c r="CI23" t="s">
        <v>19</v>
      </c>
      <c r="CJ23" t="s">
        <v>424</v>
      </c>
      <c r="CK23" t="s">
        <v>316</v>
      </c>
      <c r="CL23" t="s">
        <v>34</v>
      </c>
      <c r="CM23" t="s">
        <v>34</v>
      </c>
      <c r="CN23" t="s">
        <v>34</v>
      </c>
      <c r="CO23" t="s">
        <v>34</v>
      </c>
      <c r="CP23" t="s">
        <v>34</v>
      </c>
      <c r="CQ23" t="s">
        <v>34</v>
      </c>
      <c r="CR23" t="s">
        <v>19</v>
      </c>
      <c r="CS23" t="s">
        <v>279</v>
      </c>
      <c r="CT23" t="s">
        <v>280</v>
      </c>
      <c r="CU23" t="s">
        <v>558</v>
      </c>
      <c r="CV23" t="s">
        <v>453</v>
      </c>
      <c r="CW23" t="s">
        <v>281</v>
      </c>
      <c r="CX23" t="s">
        <v>154</v>
      </c>
      <c r="CY23" t="s">
        <v>282</v>
      </c>
      <c r="CZ23" t="s">
        <v>813</v>
      </c>
      <c r="DA23" t="s">
        <v>496</v>
      </c>
      <c r="DB23" t="s">
        <v>299</v>
      </c>
      <c r="DC23" t="s">
        <v>19</v>
      </c>
      <c r="DD23" t="s">
        <v>511</v>
      </c>
      <c r="DE23" t="s">
        <v>837</v>
      </c>
      <c r="DF23" t="s">
        <v>287</v>
      </c>
      <c r="DG23" t="s">
        <v>288</v>
      </c>
      <c r="DH23" t="s">
        <v>19</v>
      </c>
      <c r="DI23" t="s">
        <v>838</v>
      </c>
      <c r="DJ23" t="s">
        <v>156</v>
      </c>
      <c r="DK23" t="s">
        <v>19</v>
      </c>
    </row>
    <row r="24" spans="1:115">
      <c r="A24" s="35" t="s">
        <v>7</v>
      </c>
      <c r="B24" t="s">
        <v>839</v>
      </c>
      <c r="C24" t="s">
        <v>840</v>
      </c>
      <c r="D24" t="s">
        <v>841</v>
      </c>
      <c r="E24" t="s">
        <v>15</v>
      </c>
      <c r="F24" t="s">
        <v>842</v>
      </c>
      <c r="G24" t="s">
        <v>19</v>
      </c>
      <c r="H24" t="s">
        <v>19</v>
      </c>
      <c r="I24" t="s">
        <v>22</v>
      </c>
      <c r="J24" t="s">
        <v>843</v>
      </c>
      <c r="K24" t="s">
        <v>19</v>
      </c>
      <c r="L24" t="s">
        <v>19</v>
      </c>
      <c r="M24" t="s">
        <v>370</v>
      </c>
      <c r="N24" t="s">
        <v>30</v>
      </c>
      <c r="O24" t="s">
        <v>844</v>
      </c>
      <c r="P24" t="s">
        <v>416</v>
      </c>
      <c r="Q24" t="s">
        <v>416</v>
      </c>
      <c r="R24" t="s">
        <v>38</v>
      </c>
      <c r="S24" t="s">
        <v>40</v>
      </c>
      <c r="T24" t="s">
        <v>845</v>
      </c>
      <c r="U24" t="s">
        <v>846</v>
      </c>
      <c r="V24" t="s">
        <v>19</v>
      </c>
      <c r="W24" t="s">
        <v>19</v>
      </c>
      <c r="X24" t="s">
        <v>847</v>
      </c>
      <c r="Y24" t="s">
        <v>848</v>
      </c>
      <c r="Z24" t="s">
        <v>849</v>
      </c>
      <c r="AA24" t="s">
        <v>34</v>
      </c>
      <c r="AB24" t="s">
        <v>34</v>
      </c>
      <c r="AC24" t="s">
        <v>34</v>
      </c>
      <c r="AD24" t="s">
        <v>19</v>
      </c>
      <c r="AE24" t="s">
        <v>19</v>
      </c>
      <c r="AF24" t="s">
        <v>850</v>
      </c>
      <c r="AG24" t="s">
        <v>19</v>
      </c>
      <c r="AH24" t="s">
        <v>19</v>
      </c>
      <c r="AI24" t="s">
        <v>851</v>
      </c>
      <c r="AJ24" t="s">
        <v>19</v>
      </c>
      <c r="AK24" t="s">
        <v>852</v>
      </c>
      <c r="AL24" t="s">
        <v>19</v>
      </c>
      <c r="AM24" t="s">
        <v>853</v>
      </c>
      <c r="AN24" t="s">
        <v>854</v>
      </c>
      <c r="AO24" t="s">
        <v>855</v>
      </c>
      <c r="AP24" t="s">
        <v>82</v>
      </c>
      <c r="AQ24" t="s">
        <v>313</v>
      </c>
      <c r="AR24" t="s">
        <v>86</v>
      </c>
      <c r="AS24" t="s">
        <v>856</v>
      </c>
      <c r="AT24" t="s">
        <v>857</v>
      </c>
      <c r="AU24" t="s">
        <v>19</v>
      </c>
      <c r="AV24" t="s">
        <v>19</v>
      </c>
      <c r="AW24" t="s">
        <v>850</v>
      </c>
      <c r="AX24" t="s">
        <v>19</v>
      </c>
      <c r="AY24" t="s">
        <v>19</v>
      </c>
      <c r="AZ24" t="s">
        <v>851</v>
      </c>
      <c r="BA24" t="s">
        <v>19</v>
      </c>
      <c r="BB24" t="s">
        <v>852</v>
      </c>
      <c r="BC24" t="s">
        <v>19</v>
      </c>
      <c r="BD24" t="s">
        <v>858</v>
      </c>
      <c r="BE24" t="s">
        <v>854</v>
      </c>
      <c r="BF24" t="s">
        <v>855</v>
      </c>
      <c r="BG24" t="s">
        <v>82</v>
      </c>
      <c r="BH24" t="s">
        <v>313</v>
      </c>
      <c r="BI24" t="s">
        <v>86</v>
      </c>
      <c r="BJ24" t="s">
        <v>859</v>
      </c>
      <c r="BK24" t="s">
        <v>857</v>
      </c>
      <c r="BL24" t="s">
        <v>860</v>
      </c>
      <c r="BM24" t="s">
        <v>19</v>
      </c>
      <c r="BN24" t="s">
        <v>861</v>
      </c>
      <c r="BO24" t="s">
        <v>19</v>
      </c>
      <c r="BP24" t="s">
        <v>19</v>
      </c>
      <c r="BQ24" t="s">
        <v>19</v>
      </c>
      <c r="BR24" t="s">
        <v>19</v>
      </c>
      <c r="BS24" t="s">
        <v>19</v>
      </c>
      <c r="BT24" t="s">
        <v>19</v>
      </c>
      <c r="BU24" t="s">
        <v>862</v>
      </c>
      <c r="BV24" t="s">
        <v>863</v>
      </c>
      <c r="BW24" t="s">
        <v>864</v>
      </c>
      <c r="BX24" t="s">
        <v>82</v>
      </c>
      <c r="BY24" t="s">
        <v>865</v>
      </c>
      <c r="BZ24" t="s">
        <v>86</v>
      </c>
      <c r="CA24" t="s">
        <v>866</v>
      </c>
      <c r="CB24" t="s">
        <v>867</v>
      </c>
      <c r="CC24" t="s">
        <v>868</v>
      </c>
      <c r="CD24" t="s">
        <v>19</v>
      </c>
      <c r="CE24" t="s">
        <v>869</v>
      </c>
      <c r="CF24" t="s">
        <v>870</v>
      </c>
      <c r="CG24" t="s">
        <v>871</v>
      </c>
      <c r="CH24" t="s">
        <v>34</v>
      </c>
      <c r="CI24" t="s">
        <v>19</v>
      </c>
      <c r="CJ24" t="s">
        <v>424</v>
      </c>
      <c r="CK24" t="s">
        <v>316</v>
      </c>
      <c r="CL24" t="s">
        <v>34</v>
      </c>
      <c r="CM24" t="s">
        <v>34</v>
      </c>
      <c r="CN24" t="s">
        <v>34</v>
      </c>
      <c r="CO24" t="s">
        <v>34</v>
      </c>
      <c r="CP24" t="s">
        <v>34</v>
      </c>
      <c r="CQ24" t="s">
        <v>34</v>
      </c>
      <c r="CR24" t="s">
        <v>19</v>
      </c>
      <c r="CS24" t="s">
        <v>279</v>
      </c>
      <c r="CT24" t="s">
        <v>280</v>
      </c>
      <c r="CU24" t="s">
        <v>387</v>
      </c>
      <c r="CV24" t="s">
        <v>453</v>
      </c>
      <c r="CW24" t="s">
        <v>281</v>
      </c>
      <c r="CX24" t="s">
        <v>154</v>
      </c>
      <c r="CY24" t="s">
        <v>282</v>
      </c>
      <c r="CZ24" t="s">
        <v>813</v>
      </c>
      <c r="DA24" t="s">
        <v>872</v>
      </c>
      <c r="DB24" t="s">
        <v>299</v>
      </c>
      <c r="DC24" t="s">
        <v>19</v>
      </c>
      <c r="DD24" t="s">
        <v>511</v>
      </c>
      <c r="DE24" t="s">
        <v>873</v>
      </c>
      <c r="DF24" t="s">
        <v>287</v>
      </c>
      <c r="DG24" t="s">
        <v>288</v>
      </c>
      <c r="DH24" t="s">
        <v>19</v>
      </c>
      <c r="DI24" t="s">
        <v>874</v>
      </c>
      <c r="DJ24" t="s">
        <v>156</v>
      </c>
      <c r="DK24" t="s">
        <v>875</v>
      </c>
    </row>
    <row r="25" spans="1:115">
      <c r="A25" s="35" t="s">
        <v>7</v>
      </c>
      <c r="B25" t="s">
        <v>876</v>
      </c>
      <c r="C25" t="s">
        <v>877</v>
      </c>
      <c r="D25" t="s">
        <v>878</v>
      </c>
      <c r="E25" t="s">
        <v>457</v>
      </c>
      <c r="F25" t="s">
        <v>879</v>
      </c>
      <c r="G25" t="s">
        <v>19</v>
      </c>
      <c r="H25" t="s">
        <v>19</v>
      </c>
      <c r="I25" t="s">
        <v>459</v>
      </c>
      <c r="J25" t="s">
        <v>880</v>
      </c>
      <c r="K25" t="s">
        <v>19</v>
      </c>
      <c r="L25" t="s">
        <v>19</v>
      </c>
      <c r="M25" t="s">
        <v>28</v>
      </c>
      <c r="N25" t="s">
        <v>30</v>
      </c>
      <c r="O25" t="s">
        <v>881</v>
      </c>
      <c r="P25" t="s">
        <v>416</v>
      </c>
      <c r="Q25" t="s">
        <v>416</v>
      </c>
      <c r="R25" t="s">
        <v>346</v>
      </c>
      <c r="S25" t="s">
        <v>461</v>
      </c>
      <c r="T25" t="s">
        <v>882</v>
      </c>
      <c r="U25" t="s">
        <v>883</v>
      </c>
      <c r="V25" t="s">
        <v>19</v>
      </c>
      <c r="W25" t="s">
        <v>19</v>
      </c>
      <c r="X25" t="s">
        <v>19</v>
      </c>
      <c r="Y25" t="s">
        <v>19</v>
      </c>
      <c r="Z25" t="s">
        <v>19</v>
      </c>
      <c r="AA25" t="s">
        <v>34</v>
      </c>
      <c r="AB25" t="s">
        <v>34</v>
      </c>
      <c r="AC25" t="s">
        <v>34</v>
      </c>
      <c r="AD25" t="s">
        <v>19</v>
      </c>
      <c r="AE25" t="s">
        <v>19</v>
      </c>
      <c r="AF25" t="s">
        <v>884</v>
      </c>
      <c r="AG25" t="s">
        <v>19</v>
      </c>
      <c r="AH25" t="s">
        <v>19</v>
      </c>
      <c r="AI25" t="s">
        <v>885</v>
      </c>
      <c r="AJ25" t="s">
        <v>19</v>
      </c>
      <c r="AK25" t="s">
        <v>631</v>
      </c>
      <c r="AL25" t="s">
        <v>19</v>
      </c>
      <c r="AM25" t="s">
        <v>19</v>
      </c>
      <c r="AN25" t="s">
        <v>886</v>
      </c>
      <c r="AO25" t="s">
        <v>793</v>
      </c>
      <c r="AP25" t="s">
        <v>507</v>
      </c>
      <c r="AQ25" t="s">
        <v>794</v>
      </c>
      <c r="AR25" t="s">
        <v>86</v>
      </c>
      <c r="AS25" t="s">
        <v>887</v>
      </c>
      <c r="AT25" t="s">
        <v>796</v>
      </c>
      <c r="AU25" t="s">
        <v>19</v>
      </c>
      <c r="AV25" t="s">
        <v>19</v>
      </c>
      <c r="AW25" t="s">
        <v>884</v>
      </c>
      <c r="AX25" t="s">
        <v>19</v>
      </c>
      <c r="AY25" t="s">
        <v>19</v>
      </c>
      <c r="AZ25" t="s">
        <v>885</v>
      </c>
      <c r="BA25" t="s">
        <v>19</v>
      </c>
      <c r="BB25" t="s">
        <v>631</v>
      </c>
      <c r="BC25" t="s">
        <v>19</v>
      </c>
      <c r="BD25" t="s">
        <v>19</v>
      </c>
      <c r="BE25" t="s">
        <v>886</v>
      </c>
      <c r="BF25" t="s">
        <v>793</v>
      </c>
      <c r="BG25" t="s">
        <v>507</v>
      </c>
      <c r="BH25" t="s">
        <v>794</v>
      </c>
      <c r="BI25" t="s">
        <v>86</v>
      </c>
      <c r="BJ25" t="s">
        <v>887</v>
      </c>
      <c r="BK25" t="s">
        <v>796</v>
      </c>
      <c r="BL25" t="s">
        <v>19</v>
      </c>
      <c r="BM25" t="s">
        <v>19</v>
      </c>
      <c r="BN25" t="s">
        <v>19</v>
      </c>
      <c r="BO25" t="s">
        <v>19</v>
      </c>
      <c r="BP25" t="s">
        <v>19</v>
      </c>
      <c r="BQ25" t="s">
        <v>19</v>
      </c>
      <c r="BR25" t="s">
        <v>19</v>
      </c>
      <c r="BS25" t="s">
        <v>19</v>
      </c>
      <c r="BT25" t="s">
        <v>19</v>
      </c>
      <c r="BU25" t="s">
        <v>19</v>
      </c>
      <c r="BV25" t="s">
        <v>19</v>
      </c>
      <c r="BW25" t="s">
        <v>19</v>
      </c>
      <c r="BX25" t="s">
        <v>19</v>
      </c>
      <c r="BY25" t="s">
        <v>19</v>
      </c>
      <c r="BZ25" t="s">
        <v>19</v>
      </c>
      <c r="CA25" t="s">
        <v>19</v>
      </c>
      <c r="CB25" t="s">
        <v>19</v>
      </c>
      <c r="CC25" t="s">
        <v>888</v>
      </c>
      <c r="CD25" t="s">
        <v>19</v>
      </c>
      <c r="CE25" t="s">
        <v>19</v>
      </c>
      <c r="CF25" t="s">
        <v>19</v>
      </c>
      <c r="CG25" t="s">
        <v>19</v>
      </c>
      <c r="CH25" t="s">
        <v>34</v>
      </c>
      <c r="CI25" t="s">
        <v>19</v>
      </c>
      <c r="CJ25" t="s">
        <v>424</v>
      </c>
      <c r="CK25" t="s">
        <v>316</v>
      </c>
      <c r="CL25" t="s">
        <v>34</v>
      </c>
      <c r="CM25" t="s">
        <v>34</v>
      </c>
      <c r="CN25" t="s">
        <v>34</v>
      </c>
      <c r="CO25" t="s">
        <v>34</v>
      </c>
      <c r="CP25" t="s">
        <v>34</v>
      </c>
      <c r="CQ25" t="s">
        <v>34</v>
      </c>
      <c r="CR25" t="s">
        <v>19</v>
      </c>
      <c r="CS25" t="s">
        <v>279</v>
      </c>
      <c r="CT25" t="s">
        <v>280</v>
      </c>
      <c r="CU25" t="s">
        <v>889</v>
      </c>
      <c r="CV25" t="s">
        <v>453</v>
      </c>
      <c r="CW25" t="s">
        <v>281</v>
      </c>
      <c r="CX25" t="s">
        <v>154</v>
      </c>
      <c r="CY25" t="s">
        <v>282</v>
      </c>
      <c r="CZ25" t="s">
        <v>813</v>
      </c>
      <c r="DA25" t="s">
        <v>890</v>
      </c>
      <c r="DB25" t="s">
        <v>299</v>
      </c>
      <c r="DC25" t="s">
        <v>19</v>
      </c>
      <c r="DD25" t="s">
        <v>511</v>
      </c>
      <c r="DE25" t="s">
        <v>891</v>
      </c>
      <c r="DF25" t="s">
        <v>287</v>
      </c>
      <c r="DG25" t="s">
        <v>288</v>
      </c>
      <c r="DH25" t="s">
        <v>19</v>
      </c>
      <c r="DI25" t="s">
        <v>892</v>
      </c>
      <c r="DJ25" t="s">
        <v>156</v>
      </c>
      <c r="DK25" t="s">
        <v>19</v>
      </c>
    </row>
    <row r="26" spans="1:115">
      <c r="A26" s="35" t="s">
        <v>7</v>
      </c>
      <c r="B26" t="s">
        <v>893</v>
      </c>
      <c r="C26" t="s">
        <v>894</v>
      </c>
      <c r="D26" t="s">
        <v>895</v>
      </c>
      <c r="E26" t="s">
        <v>15</v>
      </c>
      <c r="F26" t="s">
        <v>896</v>
      </c>
      <c r="G26" t="s">
        <v>19</v>
      </c>
      <c r="H26" t="s">
        <v>19</v>
      </c>
      <c r="I26" t="s">
        <v>22</v>
      </c>
      <c r="J26" t="s">
        <v>897</v>
      </c>
      <c r="K26" t="s">
        <v>19</v>
      </c>
      <c r="L26" t="s">
        <v>19</v>
      </c>
      <c r="M26" t="s">
        <v>28</v>
      </c>
      <c r="N26" t="s">
        <v>30</v>
      </c>
      <c r="O26" t="s">
        <v>898</v>
      </c>
      <c r="P26" t="s">
        <v>416</v>
      </c>
      <c r="Q26" t="s">
        <v>416</v>
      </c>
      <c r="R26" t="s">
        <v>38</v>
      </c>
      <c r="S26" t="s">
        <v>40</v>
      </c>
      <c r="T26" t="s">
        <v>19</v>
      </c>
      <c r="U26" t="s">
        <v>19</v>
      </c>
      <c r="V26" t="s">
        <v>19</v>
      </c>
      <c r="W26" t="s">
        <v>19</v>
      </c>
      <c r="X26" t="s">
        <v>19</v>
      </c>
      <c r="Y26" t="s">
        <v>19</v>
      </c>
      <c r="Z26" t="s">
        <v>19</v>
      </c>
      <c r="AA26" t="s">
        <v>34</v>
      </c>
      <c r="AB26" t="s">
        <v>34</v>
      </c>
      <c r="AC26" t="s">
        <v>34</v>
      </c>
      <c r="AD26" t="s">
        <v>19</v>
      </c>
      <c r="AE26" t="s">
        <v>19</v>
      </c>
      <c r="AF26" t="s">
        <v>899</v>
      </c>
      <c r="AG26" t="s">
        <v>28</v>
      </c>
      <c r="AH26" t="s">
        <v>19</v>
      </c>
      <c r="AI26" t="s">
        <v>19</v>
      </c>
      <c r="AJ26" t="s">
        <v>19</v>
      </c>
      <c r="AK26" t="s">
        <v>19</v>
      </c>
      <c r="AL26" t="s">
        <v>19</v>
      </c>
      <c r="AM26" t="s">
        <v>900</v>
      </c>
      <c r="AN26" t="s">
        <v>901</v>
      </c>
      <c r="AO26" t="s">
        <v>902</v>
      </c>
      <c r="AP26" t="s">
        <v>507</v>
      </c>
      <c r="AQ26" t="s">
        <v>903</v>
      </c>
      <c r="AR26" t="s">
        <v>86</v>
      </c>
      <c r="AS26" t="s">
        <v>904</v>
      </c>
      <c r="AT26" t="s">
        <v>905</v>
      </c>
      <c r="AU26" t="s">
        <v>19</v>
      </c>
      <c r="AV26" t="s">
        <v>19</v>
      </c>
      <c r="AW26" t="s">
        <v>19</v>
      </c>
      <c r="AX26" t="s">
        <v>19</v>
      </c>
      <c r="AY26" t="s">
        <v>19</v>
      </c>
      <c r="AZ26" t="s">
        <v>19</v>
      </c>
      <c r="BA26" t="s">
        <v>19</v>
      </c>
      <c r="BB26" t="s">
        <v>19</v>
      </c>
      <c r="BC26" t="s">
        <v>19</v>
      </c>
      <c r="BD26" t="s">
        <v>19</v>
      </c>
      <c r="BE26" t="s">
        <v>19</v>
      </c>
      <c r="BF26" t="s">
        <v>19</v>
      </c>
      <c r="BG26" t="s">
        <v>19</v>
      </c>
      <c r="BH26" t="s">
        <v>903</v>
      </c>
      <c r="BI26" t="s">
        <v>19</v>
      </c>
      <c r="BJ26" t="s">
        <v>906</v>
      </c>
      <c r="BK26" t="s">
        <v>19</v>
      </c>
      <c r="BL26" t="s">
        <v>19</v>
      </c>
      <c r="BM26" t="s">
        <v>19</v>
      </c>
      <c r="BN26" t="s">
        <v>19</v>
      </c>
      <c r="BO26" t="s">
        <v>19</v>
      </c>
      <c r="BP26" t="s">
        <v>19</v>
      </c>
      <c r="BQ26" t="s">
        <v>19</v>
      </c>
      <c r="BR26" t="s">
        <v>19</v>
      </c>
      <c r="BS26" t="s">
        <v>19</v>
      </c>
      <c r="BT26" t="s">
        <v>19</v>
      </c>
      <c r="BU26" t="s">
        <v>19</v>
      </c>
      <c r="BV26" t="s">
        <v>19</v>
      </c>
      <c r="BW26" t="s">
        <v>19</v>
      </c>
      <c r="BX26" t="s">
        <v>19</v>
      </c>
      <c r="BY26" t="s">
        <v>19</v>
      </c>
      <c r="BZ26" t="s">
        <v>19</v>
      </c>
      <c r="CA26" t="s">
        <v>19</v>
      </c>
      <c r="CB26" t="s">
        <v>19</v>
      </c>
      <c r="CC26" t="s">
        <v>907</v>
      </c>
      <c r="CD26" t="s">
        <v>19</v>
      </c>
      <c r="CE26" t="s">
        <v>19</v>
      </c>
      <c r="CF26" t="s">
        <v>19</v>
      </c>
      <c r="CG26" t="s">
        <v>19</v>
      </c>
      <c r="CH26" t="s">
        <v>34</v>
      </c>
      <c r="CI26" t="s">
        <v>19</v>
      </c>
      <c r="CJ26" t="s">
        <v>424</v>
      </c>
      <c r="CK26" t="s">
        <v>316</v>
      </c>
      <c r="CL26" t="s">
        <v>34</v>
      </c>
      <c r="CM26" t="s">
        <v>34</v>
      </c>
      <c r="CN26" t="s">
        <v>34</v>
      </c>
      <c r="CO26" t="s">
        <v>34</v>
      </c>
      <c r="CP26" t="s">
        <v>34</v>
      </c>
      <c r="CQ26" t="s">
        <v>34</v>
      </c>
      <c r="CR26" t="s">
        <v>19</v>
      </c>
      <c r="CS26" t="s">
        <v>279</v>
      </c>
      <c r="CT26" t="s">
        <v>280</v>
      </c>
      <c r="CU26" t="s">
        <v>328</v>
      </c>
      <c r="CV26" t="s">
        <v>453</v>
      </c>
      <c r="CW26" t="s">
        <v>281</v>
      </c>
      <c r="CX26" t="s">
        <v>154</v>
      </c>
      <c r="CY26" t="s">
        <v>282</v>
      </c>
      <c r="CZ26" t="s">
        <v>813</v>
      </c>
      <c r="DA26" t="s">
        <v>908</v>
      </c>
      <c r="DB26" t="s">
        <v>299</v>
      </c>
      <c r="DC26" t="s">
        <v>19</v>
      </c>
      <c r="DD26" t="s">
        <v>439</v>
      </c>
      <c r="DE26" t="s">
        <v>909</v>
      </c>
      <c r="DF26" t="s">
        <v>287</v>
      </c>
      <c r="DG26" t="s">
        <v>484</v>
      </c>
      <c r="DH26" t="s">
        <v>19</v>
      </c>
      <c r="DI26" t="s">
        <v>910</v>
      </c>
      <c r="DJ26" t="s">
        <v>19</v>
      </c>
      <c r="DK26" t="s">
        <v>19</v>
      </c>
    </row>
    <row r="27" spans="1:115">
      <c r="A27" s="35" t="s">
        <v>7</v>
      </c>
      <c r="B27" t="s">
        <v>911</v>
      </c>
      <c r="C27" t="s">
        <v>912</v>
      </c>
      <c r="D27" t="s">
        <v>913</v>
      </c>
      <c r="E27" t="s">
        <v>15</v>
      </c>
      <c r="F27" t="s">
        <v>914</v>
      </c>
      <c r="G27" t="s">
        <v>19</v>
      </c>
      <c r="H27" t="s">
        <v>19</v>
      </c>
      <c r="I27" t="s">
        <v>22</v>
      </c>
      <c r="J27" t="s">
        <v>915</v>
      </c>
      <c r="K27" t="s">
        <v>19</v>
      </c>
      <c r="L27" t="s">
        <v>19</v>
      </c>
      <c r="M27" t="s">
        <v>28</v>
      </c>
      <c r="N27" t="s">
        <v>30</v>
      </c>
      <c r="O27" t="s">
        <v>916</v>
      </c>
      <c r="P27" t="s">
        <v>416</v>
      </c>
      <c r="Q27" t="s">
        <v>416</v>
      </c>
      <c r="R27" t="s">
        <v>38</v>
      </c>
      <c r="S27" t="s">
        <v>40</v>
      </c>
      <c r="T27" t="s">
        <v>917</v>
      </c>
      <c r="U27" t="s">
        <v>918</v>
      </c>
      <c r="V27" t="s">
        <v>19</v>
      </c>
      <c r="W27" t="s">
        <v>19</v>
      </c>
      <c r="X27" t="s">
        <v>919</v>
      </c>
      <c r="Y27" t="s">
        <v>920</v>
      </c>
      <c r="Z27" t="s">
        <v>921</v>
      </c>
      <c r="AA27" t="s">
        <v>34</v>
      </c>
      <c r="AB27" t="s">
        <v>34</v>
      </c>
      <c r="AC27" t="s">
        <v>34</v>
      </c>
      <c r="AD27" t="s">
        <v>19</v>
      </c>
      <c r="AE27" t="s">
        <v>19</v>
      </c>
      <c r="AF27" t="s">
        <v>922</v>
      </c>
      <c r="AG27" t="s">
        <v>923</v>
      </c>
      <c r="AH27" t="s">
        <v>19</v>
      </c>
      <c r="AI27" t="s">
        <v>19</v>
      </c>
      <c r="AJ27" t="s">
        <v>19</v>
      </c>
      <c r="AK27" t="s">
        <v>19</v>
      </c>
      <c r="AL27" t="s">
        <v>924</v>
      </c>
      <c r="AM27" t="s">
        <v>464</v>
      </c>
      <c r="AN27" t="s">
        <v>925</v>
      </c>
      <c r="AO27" t="s">
        <v>926</v>
      </c>
      <c r="AP27" t="s">
        <v>927</v>
      </c>
      <c r="AQ27" t="s">
        <v>928</v>
      </c>
      <c r="AR27" t="s">
        <v>86</v>
      </c>
      <c r="AS27" t="s">
        <v>929</v>
      </c>
      <c r="AT27" t="s">
        <v>930</v>
      </c>
      <c r="AU27" t="s">
        <v>19</v>
      </c>
      <c r="AV27" t="s">
        <v>19</v>
      </c>
      <c r="AW27" t="s">
        <v>922</v>
      </c>
      <c r="AX27" t="s">
        <v>923</v>
      </c>
      <c r="AY27" t="s">
        <v>931</v>
      </c>
      <c r="AZ27" t="s">
        <v>19</v>
      </c>
      <c r="BA27" t="s">
        <v>19</v>
      </c>
      <c r="BB27" t="s">
        <v>19</v>
      </c>
      <c r="BC27" t="s">
        <v>19</v>
      </c>
      <c r="BD27" t="s">
        <v>19</v>
      </c>
      <c r="BE27" t="s">
        <v>925</v>
      </c>
      <c r="BF27" t="s">
        <v>926</v>
      </c>
      <c r="BG27" t="s">
        <v>927</v>
      </c>
      <c r="BH27" t="s">
        <v>928</v>
      </c>
      <c r="BI27" t="s">
        <v>86</v>
      </c>
      <c r="BJ27" t="s">
        <v>932</v>
      </c>
      <c r="BK27" t="s">
        <v>933</v>
      </c>
      <c r="BL27" t="s">
        <v>19</v>
      </c>
      <c r="BM27" t="s">
        <v>19</v>
      </c>
      <c r="BN27" t="s">
        <v>19</v>
      </c>
      <c r="BO27" t="s">
        <v>19</v>
      </c>
      <c r="BP27" t="s">
        <v>19</v>
      </c>
      <c r="BQ27" t="s">
        <v>19</v>
      </c>
      <c r="BR27" t="s">
        <v>19</v>
      </c>
      <c r="BS27" t="s">
        <v>19</v>
      </c>
      <c r="BT27" t="s">
        <v>19</v>
      </c>
      <c r="BU27" t="s">
        <v>19</v>
      </c>
      <c r="BV27" t="s">
        <v>19</v>
      </c>
      <c r="BW27" t="s">
        <v>19</v>
      </c>
      <c r="BX27" t="s">
        <v>19</v>
      </c>
      <c r="BY27" t="s">
        <v>19</v>
      </c>
      <c r="BZ27" t="s">
        <v>19</v>
      </c>
      <c r="CA27" t="s">
        <v>19</v>
      </c>
      <c r="CB27" t="s">
        <v>19</v>
      </c>
      <c r="CC27" t="s">
        <v>934</v>
      </c>
      <c r="CD27" t="s">
        <v>19</v>
      </c>
      <c r="CE27" t="s">
        <v>19</v>
      </c>
      <c r="CF27" t="s">
        <v>19</v>
      </c>
      <c r="CG27" t="s">
        <v>935</v>
      </c>
      <c r="CH27" t="s">
        <v>34</v>
      </c>
      <c r="CI27" t="s">
        <v>19</v>
      </c>
      <c r="CJ27" t="s">
        <v>424</v>
      </c>
      <c r="CK27" t="s">
        <v>316</v>
      </c>
      <c r="CL27" t="s">
        <v>34</v>
      </c>
      <c r="CM27" t="s">
        <v>34</v>
      </c>
      <c r="CN27" t="s">
        <v>34</v>
      </c>
      <c r="CO27" t="s">
        <v>34</v>
      </c>
      <c r="CP27" t="s">
        <v>34</v>
      </c>
      <c r="CQ27" t="s">
        <v>34</v>
      </c>
      <c r="CR27" t="s">
        <v>19</v>
      </c>
      <c r="CS27" t="s">
        <v>279</v>
      </c>
      <c r="CT27" t="s">
        <v>280</v>
      </c>
      <c r="CU27" t="s">
        <v>387</v>
      </c>
      <c r="CV27" t="s">
        <v>453</v>
      </c>
      <c r="CW27" t="s">
        <v>281</v>
      </c>
      <c r="CX27" t="s">
        <v>154</v>
      </c>
      <c r="CY27" t="s">
        <v>282</v>
      </c>
      <c r="CZ27" t="s">
        <v>813</v>
      </c>
      <c r="DA27" t="s">
        <v>936</v>
      </c>
      <c r="DB27" t="s">
        <v>299</v>
      </c>
      <c r="DC27" t="s">
        <v>19</v>
      </c>
      <c r="DD27" t="s">
        <v>511</v>
      </c>
      <c r="DE27" t="s">
        <v>937</v>
      </c>
      <c r="DF27" t="s">
        <v>287</v>
      </c>
      <c r="DG27" t="s">
        <v>288</v>
      </c>
      <c r="DH27" t="s">
        <v>19</v>
      </c>
      <c r="DI27" t="s">
        <v>938</v>
      </c>
      <c r="DJ27" t="s">
        <v>440</v>
      </c>
      <c r="DK27" t="s">
        <v>939</v>
      </c>
    </row>
    <row r="28" spans="1:115">
      <c r="A28" s="35" t="s">
        <v>7</v>
      </c>
      <c r="B28" t="s">
        <v>940</v>
      </c>
      <c r="C28" t="s">
        <v>512</v>
      </c>
      <c r="D28" t="s">
        <v>513</v>
      </c>
      <c r="E28" t="s">
        <v>15</v>
      </c>
      <c r="F28" t="s">
        <v>514</v>
      </c>
      <c r="G28" t="s">
        <v>19</v>
      </c>
      <c r="H28" t="s">
        <v>19</v>
      </c>
      <c r="I28" t="s">
        <v>22</v>
      </c>
      <c r="J28" t="s">
        <v>515</v>
      </c>
      <c r="K28" t="s">
        <v>19</v>
      </c>
      <c r="L28" t="s">
        <v>19</v>
      </c>
      <c r="M28" t="s">
        <v>28</v>
      </c>
      <c r="N28" t="s">
        <v>30</v>
      </c>
      <c r="O28" t="s">
        <v>391</v>
      </c>
      <c r="P28" t="s">
        <v>416</v>
      </c>
      <c r="Q28" t="s">
        <v>416</v>
      </c>
      <c r="R28" t="s">
        <v>38</v>
      </c>
      <c r="S28" t="s">
        <v>40</v>
      </c>
      <c r="T28" t="s">
        <v>392</v>
      </c>
      <c r="U28" t="s">
        <v>516</v>
      </c>
      <c r="V28" t="s">
        <v>19</v>
      </c>
      <c r="W28" t="s">
        <v>19</v>
      </c>
      <c r="X28" t="s">
        <v>19</v>
      </c>
      <c r="Y28" t="s">
        <v>19</v>
      </c>
      <c r="Z28" t="s">
        <v>19</v>
      </c>
      <c r="AA28" t="s">
        <v>34</v>
      </c>
      <c r="AB28" t="s">
        <v>34</v>
      </c>
      <c r="AC28" t="s">
        <v>34</v>
      </c>
      <c r="AD28" t="s">
        <v>19</v>
      </c>
      <c r="AE28" t="s">
        <v>19</v>
      </c>
      <c r="AF28" t="s">
        <v>393</v>
      </c>
      <c r="AG28" t="s">
        <v>19</v>
      </c>
      <c r="AH28" t="s">
        <v>19</v>
      </c>
      <c r="AI28" t="s">
        <v>19</v>
      </c>
      <c r="AJ28" t="s">
        <v>19</v>
      </c>
      <c r="AK28" t="s">
        <v>19</v>
      </c>
      <c r="AL28" t="s">
        <v>517</v>
      </c>
      <c r="AM28" t="s">
        <v>518</v>
      </c>
      <c r="AN28" t="s">
        <v>519</v>
      </c>
      <c r="AO28" t="s">
        <v>520</v>
      </c>
      <c r="AP28" t="s">
        <v>82</v>
      </c>
      <c r="AQ28" t="s">
        <v>394</v>
      </c>
      <c r="AR28" t="s">
        <v>86</v>
      </c>
      <c r="AS28" t="s">
        <v>395</v>
      </c>
      <c r="AT28" t="s">
        <v>521</v>
      </c>
      <c r="AU28" t="s">
        <v>19</v>
      </c>
      <c r="AV28" t="s">
        <v>19</v>
      </c>
      <c r="AW28" t="s">
        <v>393</v>
      </c>
      <c r="AX28" t="s">
        <v>19</v>
      </c>
      <c r="AY28" t="s">
        <v>19</v>
      </c>
      <c r="AZ28" t="s">
        <v>19</v>
      </c>
      <c r="BA28" t="s">
        <v>19</v>
      </c>
      <c r="BB28" t="s">
        <v>19</v>
      </c>
      <c r="BC28" t="s">
        <v>522</v>
      </c>
      <c r="BD28" t="s">
        <v>518</v>
      </c>
      <c r="BE28" t="s">
        <v>519</v>
      </c>
      <c r="BF28" t="s">
        <v>520</v>
      </c>
      <c r="BG28" t="s">
        <v>82</v>
      </c>
      <c r="BH28" t="s">
        <v>394</v>
      </c>
      <c r="BI28" t="s">
        <v>86</v>
      </c>
      <c r="BJ28" t="s">
        <v>396</v>
      </c>
      <c r="BK28" t="s">
        <v>521</v>
      </c>
      <c r="BL28" t="s">
        <v>523</v>
      </c>
      <c r="BM28" t="s">
        <v>19</v>
      </c>
      <c r="BN28" t="s">
        <v>393</v>
      </c>
      <c r="BO28" t="s">
        <v>19</v>
      </c>
      <c r="BP28" t="s">
        <v>19</v>
      </c>
      <c r="BQ28" t="s">
        <v>19</v>
      </c>
      <c r="BR28" t="s">
        <v>19</v>
      </c>
      <c r="BS28" t="s">
        <v>19</v>
      </c>
      <c r="BT28" t="s">
        <v>517</v>
      </c>
      <c r="BU28" t="s">
        <v>518</v>
      </c>
      <c r="BV28" t="s">
        <v>519</v>
      </c>
      <c r="BW28" t="s">
        <v>520</v>
      </c>
      <c r="BX28" t="s">
        <v>82</v>
      </c>
      <c r="BY28" t="s">
        <v>394</v>
      </c>
      <c r="BZ28" t="s">
        <v>86</v>
      </c>
      <c r="CA28" t="s">
        <v>395</v>
      </c>
      <c r="CB28" t="s">
        <v>521</v>
      </c>
      <c r="CC28" t="s">
        <v>397</v>
      </c>
      <c r="CD28" t="s">
        <v>19</v>
      </c>
      <c r="CE28" t="s">
        <v>398</v>
      </c>
      <c r="CF28" t="s">
        <v>399</v>
      </c>
      <c r="CG28" t="s">
        <v>524</v>
      </c>
      <c r="CH28" t="s">
        <v>34</v>
      </c>
      <c r="CI28" t="s">
        <v>19</v>
      </c>
      <c r="CJ28" t="s">
        <v>424</v>
      </c>
      <c r="CK28" t="s">
        <v>316</v>
      </c>
      <c r="CL28" t="s">
        <v>34</v>
      </c>
      <c r="CM28" t="s">
        <v>34</v>
      </c>
      <c r="CN28" t="s">
        <v>34</v>
      </c>
      <c r="CO28" t="s">
        <v>34</v>
      </c>
      <c r="CP28" t="s">
        <v>34</v>
      </c>
      <c r="CQ28" t="s">
        <v>34</v>
      </c>
      <c r="CR28" t="s">
        <v>19</v>
      </c>
      <c r="CS28" t="s">
        <v>279</v>
      </c>
      <c r="CT28" t="s">
        <v>400</v>
      </c>
      <c r="CU28" t="s">
        <v>401</v>
      </c>
      <c r="CV28" t="s">
        <v>453</v>
      </c>
      <c r="CW28" t="s">
        <v>281</v>
      </c>
      <c r="CX28" t="s">
        <v>154</v>
      </c>
      <c r="CY28" t="s">
        <v>282</v>
      </c>
      <c r="CZ28" t="s">
        <v>813</v>
      </c>
      <c r="DA28" t="s">
        <v>941</v>
      </c>
      <c r="DB28" t="s">
        <v>299</v>
      </c>
      <c r="DC28" t="s">
        <v>19</v>
      </c>
      <c r="DD28" t="s">
        <v>526</v>
      </c>
      <c r="DE28" t="s">
        <v>402</v>
      </c>
      <c r="DF28" t="s">
        <v>287</v>
      </c>
      <c r="DG28" t="s">
        <v>288</v>
      </c>
      <c r="DH28" t="s">
        <v>19</v>
      </c>
      <c r="DI28" t="s">
        <v>942</v>
      </c>
      <c r="DJ28" t="s">
        <v>19</v>
      </c>
      <c r="DK28" t="s">
        <v>19</v>
      </c>
    </row>
    <row r="29" spans="1:115">
      <c r="A29" s="35" t="s">
        <v>7</v>
      </c>
      <c r="B29" t="s">
        <v>943</v>
      </c>
      <c r="C29" t="s">
        <v>944</v>
      </c>
      <c r="D29" t="s">
        <v>945</v>
      </c>
      <c r="E29" t="s">
        <v>15</v>
      </c>
      <c r="F29" t="s">
        <v>946</v>
      </c>
      <c r="G29" t="s">
        <v>19</v>
      </c>
      <c r="H29" t="s">
        <v>19</v>
      </c>
      <c r="I29" t="s">
        <v>22</v>
      </c>
      <c r="J29" t="s">
        <v>947</v>
      </c>
      <c r="K29" t="s">
        <v>19</v>
      </c>
      <c r="L29" t="s">
        <v>19</v>
      </c>
      <c r="M29" t="s">
        <v>360</v>
      </c>
      <c r="N29" t="s">
        <v>30</v>
      </c>
      <c r="O29" t="s">
        <v>948</v>
      </c>
      <c r="P29" t="s">
        <v>416</v>
      </c>
      <c r="Q29" t="s">
        <v>416</v>
      </c>
      <c r="R29" t="s">
        <v>38</v>
      </c>
      <c r="S29" t="s">
        <v>40</v>
      </c>
      <c r="T29" t="s">
        <v>949</v>
      </c>
      <c r="U29" t="s">
        <v>950</v>
      </c>
      <c r="V29" t="s">
        <v>19</v>
      </c>
      <c r="W29" t="s">
        <v>19</v>
      </c>
      <c r="X29" t="s">
        <v>951</v>
      </c>
      <c r="Y29" t="s">
        <v>952</v>
      </c>
      <c r="Z29" t="s">
        <v>953</v>
      </c>
      <c r="AA29" t="s">
        <v>34</v>
      </c>
      <c r="AB29" t="s">
        <v>34</v>
      </c>
      <c r="AC29" t="s">
        <v>34</v>
      </c>
      <c r="AD29" t="s">
        <v>19</v>
      </c>
      <c r="AE29" t="s">
        <v>19</v>
      </c>
      <c r="AF29" t="s">
        <v>954</v>
      </c>
      <c r="AG29" t="s">
        <v>64</v>
      </c>
      <c r="AH29" t="s">
        <v>19</v>
      </c>
      <c r="AI29" t="s">
        <v>19</v>
      </c>
      <c r="AJ29" t="s">
        <v>19</v>
      </c>
      <c r="AK29" t="s">
        <v>19</v>
      </c>
      <c r="AL29" t="s">
        <v>64</v>
      </c>
      <c r="AM29" t="s">
        <v>656</v>
      </c>
      <c r="AN29" t="s">
        <v>657</v>
      </c>
      <c r="AO29" t="s">
        <v>494</v>
      </c>
      <c r="AP29" t="s">
        <v>82</v>
      </c>
      <c r="AQ29" t="s">
        <v>349</v>
      </c>
      <c r="AR29" t="s">
        <v>86</v>
      </c>
      <c r="AS29" t="s">
        <v>955</v>
      </c>
      <c r="AT29" t="s">
        <v>956</v>
      </c>
      <c r="AU29" t="s">
        <v>19</v>
      </c>
      <c r="AV29" t="s">
        <v>19</v>
      </c>
      <c r="AW29" t="s">
        <v>954</v>
      </c>
      <c r="AX29" t="s">
        <v>64</v>
      </c>
      <c r="AY29" t="s">
        <v>19</v>
      </c>
      <c r="AZ29" t="s">
        <v>19</v>
      </c>
      <c r="BA29" t="s">
        <v>19</v>
      </c>
      <c r="BB29" t="s">
        <v>19</v>
      </c>
      <c r="BC29" t="s">
        <v>64</v>
      </c>
      <c r="BD29" t="s">
        <v>656</v>
      </c>
      <c r="BE29" t="s">
        <v>657</v>
      </c>
      <c r="BF29" t="s">
        <v>494</v>
      </c>
      <c r="BG29" t="s">
        <v>82</v>
      </c>
      <c r="BH29" t="s">
        <v>349</v>
      </c>
      <c r="BI29" t="s">
        <v>86</v>
      </c>
      <c r="BJ29" t="s">
        <v>955</v>
      </c>
      <c r="BK29" t="s">
        <v>956</v>
      </c>
      <c r="BL29" t="s">
        <v>19</v>
      </c>
      <c r="BM29" t="s">
        <v>19</v>
      </c>
      <c r="BN29" t="s">
        <v>19</v>
      </c>
      <c r="BO29" t="s">
        <v>19</v>
      </c>
      <c r="BP29" t="s">
        <v>19</v>
      </c>
      <c r="BQ29" t="s">
        <v>19</v>
      </c>
      <c r="BR29" t="s">
        <v>19</v>
      </c>
      <c r="BS29" t="s">
        <v>19</v>
      </c>
      <c r="BT29" t="s">
        <v>19</v>
      </c>
      <c r="BU29" t="s">
        <v>19</v>
      </c>
      <c r="BV29" t="s">
        <v>19</v>
      </c>
      <c r="BW29" t="s">
        <v>19</v>
      </c>
      <c r="BX29" t="s">
        <v>19</v>
      </c>
      <c r="BY29" t="s">
        <v>19</v>
      </c>
      <c r="BZ29" t="s">
        <v>19</v>
      </c>
      <c r="CA29" t="s">
        <v>19</v>
      </c>
      <c r="CB29" t="s">
        <v>19</v>
      </c>
      <c r="CC29" t="s">
        <v>957</v>
      </c>
      <c r="CD29" t="s">
        <v>19</v>
      </c>
      <c r="CE29" t="s">
        <v>19</v>
      </c>
      <c r="CF29" t="s">
        <v>19</v>
      </c>
      <c r="CG29" t="s">
        <v>19</v>
      </c>
      <c r="CH29" t="s">
        <v>34</v>
      </c>
      <c r="CI29" t="s">
        <v>19</v>
      </c>
      <c r="CJ29" t="s">
        <v>424</v>
      </c>
      <c r="CK29" t="s">
        <v>316</v>
      </c>
      <c r="CL29" t="s">
        <v>34</v>
      </c>
      <c r="CM29" t="s">
        <v>34</v>
      </c>
      <c r="CN29" t="s">
        <v>34</v>
      </c>
      <c r="CO29" t="s">
        <v>34</v>
      </c>
      <c r="CP29" t="s">
        <v>34</v>
      </c>
      <c r="CQ29" t="s">
        <v>34</v>
      </c>
      <c r="CR29" t="s">
        <v>19</v>
      </c>
      <c r="CS29" t="s">
        <v>279</v>
      </c>
      <c r="CT29" t="s">
        <v>280</v>
      </c>
      <c r="CU29" t="s">
        <v>752</v>
      </c>
      <c r="CV29" t="s">
        <v>453</v>
      </c>
      <c r="CW29" t="s">
        <v>281</v>
      </c>
      <c r="CX29" t="s">
        <v>154</v>
      </c>
      <c r="CY29" t="s">
        <v>282</v>
      </c>
      <c r="CZ29" t="s">
        <v>813</v>
      </c>
      <c r="DA29" t="s">
        <v>496</v>
      </c>
      <c r="DB29" t="s">
        <v>958</v>
      </c>
      <c r="DC29" t="s">
        <v>19</v>
      </c>
      <c r="DD29" t="s">
        <v>511</v>
      </c>
      <c r="DE29" t="s">
        <v>959</v>
      </c>
      <c r="DF29" t="s">
        <v>287</v>
      </c>
      <c r="DG29" t="s">
        <v>288</v>
      </c>
      <c r="DH29" t="s">
        <v>19</v>
      </c>
      <c r="DI29" t="s">
        <v>960</v>
      </c>
      <c r="DJ29" t="s">
        <v>440</v>
      </c>
      <c r="DK29" t="s">
        <v>961</v>
      </c>
    </row>
    <row r="30" spans="1:115">
      <c r="A30" s="35" t="s">
        <v>7</v>
      </c>
      <c r="B30" t="s">
        <v>962</v>
      </c>
      <c r="C30" t="s">
        <v>963</v>
      </c>
      <c r="D30" t="s">
        <v>964</v>
      </c>
      <c r="E30" t="s">
        <v>15</v>
      </c>
      <c r="F30" t="s">
        <v>965</v>
      </c>
      <c r="G30" t="s">
        <v>19</v>
      </c>
      <c r="H30" t="s">
        <v>19</v>
      </c>
      <c r="I30" t="s">
        <v>22</v>
      </c>
      <c r="J30" t="s">
        <v>966</v>
      </c>
      <c r="K30" t="s">
        <v>19</v>
      </c>
      <c r="L30" t="s">
        <v>19</v>
      </c>
      <c r="M30" t="s">
        <v>360</v>
      </c>
      <c r="N30" t="s">
        <v>30</v>
      </c>
      <c r="O30" t="s">
        <v>967</v>
      </c>
      <c r="P30" t="s">
        <v>416</v>
      </c>
      <c r="Q30" t="s">
        <v>416</v>
      </c>
      <c r="R30" t="s">
        <v>38</v>
      </c>
      <c r="S30" t="s">
        <v>40</v>
      </c>
      <c r="T30" t="s">
        <v>949</v>
      </c>
      <c r="U30" t="s">
        <v>950</v>
      </c>
      <c r="V30" t="s">
        <v>19</v>
      </c>
      <c r="W30" t="s">
        <v>19</v>
      </c>
      <c r="X30" t="s">
        <v>19</v>
      </c>
      <c r="Y30" t="s">
        <v>19</v>
      </c>
      <c r="Z30" t="s">
        <v>19</v>
      </c>
      <c r="AA30" t="s">
        <v>34</v>
      </c>
      <c r="AB30" t="s">
        <v>34</v>
      </c>
      <c r="AC30" t="s">
        <v>34</v>
      </c>
      <c r="AD30" t="s">
        <v>968</v>
      </c>
      <c r="AE30" t="s">
        <v>19</v>
      </c>
      <c r="AF30" t="s">
        <v>969</v>
      </c>
      <c r="AG30" t="s">
        <v>19</v>
      </c>
      <c r="AH30" t="s">
        <v>19</v>
      </c>
      <c r="AI30" t="s">
        <v>970</v>
      </c>
      <c r="AJ30" t="s">
        <v>19</v>
      </c>
      <c r="AK30" t="s">
        <v>971</v>
      </c>
      <c r="AL30" t="s">
        <v>19</v>
      </c>
      <c r="AM30" t="s">
        <v>464</v>
      </c>
      <c r="AN30" t="s">
        <v>465</v>
      </c>
      <c r="AO30" t="s">
        <v>466</v>
      </c>
      <c r="AP30" t="s">
        <v>82</v>
      </c>
      <c r="AQ30" t="s">
        <v>349</v>
      </c>
      <c r="AR30" t="s">
        <v>86</v>
      </c>
      <c r="AS30" t="s">
        <v>972</v>
      </c>
      <c r="AT30" t="s">
        <v>973</v>
      </c>
      <c r="AU30" t="s">
        <v>968</v>
      </c>
      <c r="AV30" t="s">
        <v>19</v>
      </c>
      <c r="AW30" t="s">
        <v>969</v>
      </c>
      <c r="AX30" t="s">
        <v>19</v>
      </c>
      <c r="AY30" t="s">
        <v>19</v>
      </c>
      <c r="AZ30" t="s">
        <v>970</v>
      </c>
      <c r="BA30" t="s">
        <v>19</v>
      </c>
      <c r="BB30" t="s">
        <v>971</v>
      </c>
      <c r="BC30" t="s">
        <v>19</v>
      </c>
      <c r="BD30" t="s">
        <v>464</v>
      </c>
      <c r="BE30" t="s">
        <v>465</v>
      </c>
      <c r="BF30" t="s">
        <v>466</v>
      </c>
      <c r="BG30" t="s">
        <v>82</v>
      </c>
      <c r="BH30" t="s">
        <v>349</v>
      </c>
      <c r="BI30" t="s">
        <v>86</v>
      </c>
      <c r="BJ30" t="s">
        <v>972</v>
      </c>
      <c r="BK30" t="s">
        <v>973</v>
      </c>
      <c r="BL30" t="s">
        <v>968</v>
      </c>
      <c r="BM30" t="s">
        <v>19</v>
      </c>
      <c r="BN30" t="s">
        <v>969</v>
      </c>
      <c r="BO30" t="s">
        <v>19</v>
      </c>
      <c r="BP30" t="s">
        <v>19</v>
      </c>
      <c r="BQ30" t="s">
        <v>970</v>
      </c>
      <c r="BR30" t="s">
        <v>19</v>
      </c>
      <c r="BS30" t="s">
        <v>971</v>
      </c>
      <c r="BT30" t="s">
        <v>19</v>
      </c>
      <c r="BU30" t="s">
        <v>464</v>
      </c>
      <c r="BV30" t="s">
        <v>465</v>
      </c>
      <c r="BW30" t="s">
        <v>466</v>
      </c>
      <c r="BX30" t="s">
        <v>82</v>
      </c>
      <c r="BY30" t="s">
        <v>349</v>
      </c>
      <c r="BZ30" t="s">
        <v>86</v>
      </c>
      <c r="CA30" t="s">
        <v>972</v>
      </c>
      <c r="CB30" t="s">
        <v>973</v>
      </c>
      <c r="CC30" t="s">
        <v>974</v>
      </c>
      <c r="CD30" t="s">
        <v>19</v>
      </c>
      <c r="CE30" t="s">
        <v>975</v>
      </c>
      <c r="CF30" t="s">
        <v>19</v>
      </c>
      <c r="CG30" t="s">
        <v>19</v>
      </c>
      <c r="CH30" t="s">
        <v>34</v>
      </c>
      <c r="CI30" t="s">
        <v>19</v>
      </c>
      <c r="CJ30" t="s">
        <v>424</v>
      </c>
      <c r="CK30" t="s">
        <v>316</v>
      </c>
      <c r="CL30" t="s">
        <v>34</v>
      </c>
      <c r="CM30" t="s">
        <v>34</v>
      </c>
      <c r="CN30" t="s">
        <v>34</v>
      </c>
      <c r="CO30" t="s">
        <v>34</v>
      </c>
      <c r="CP30" t="s">
        <v>34</v>
      </c>
      <c r="CQ30" t="s">
        <v>34</v>
      </c>
      <c r="CR30" t="s">
        <v>19</v>
      </c>
      <c r="CS30" t="s">
        <v>279</v>
      </c>
      <c r="CT30" t="s">
        <v>280</v>
      </c>
      <c r="CU30" t="s">
        <v>412</v>
      </c>
      <c r="CV30" t="s">
        <v>453</v>
      </c>
      <c r="CW30" t="s">
        <v>281</v>
      </c>
      <c r="CX30" t="s">
        <v>154</v>
      </c>
      <c r="CY30" t="s">
        <v>282</v>
      </c>
      <c r="CZ30" t="s">
        <v>813</v>
      </c>
      <c r="DA30" t="s">
        <v>976</v>
      </c>
      <c r="DB30" t="s">
        <v>977</v>
      </c>
      <c r="DC30" t="s">
        <v>19</v>
      </c>
      <c r="DD30" t="s">
        <v>511</v>
      </c>
      <c r="DE30" t="s">
        <v>978</v>
      </c>
      <c r="DF30" t="s">
        <v>287</v>
      </c>
      <c r="DG30" t="s">
        <v>288</v>
      </c>
      <c r="DH30" t="s">
        <v>19</v>
      </c>
      <c r="DI30" t="s">
        <v>979</v>
      </c>
      <c r="DJ30" t="s">
        <v>440</v>
      </c>
      <c r="DK30"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CAB01-FF1B-4D40-86E0-B0C89E864175}">
  <dimension ref="A1:DK30"/>
  <sheetViews>
    <sheetView topLeftCell="CN1" workbookViewId="0">
      <selection activeCell="CR11" sqref="CR11"/>
    </sheetView>
  </sheetViews>
  <sheetFormatPr baseColWidth="10" defaultColWidth="30.83203125" defaultRowHeight="16"/>
  <cols>
    <col min="1" max="115" width="30.83203125" customWidth="1"/>
  </cols>
  <sheetData>
    <row r="1" spans="1:115">
      <c r="A1" s="35" t="s">
        <v>7</v>
      </c>
      <c r="B1" t="s">
        <v>10</v>
      </c>
      <c r="C1" t="s">
        <v>415</v>
      </c>
      <c r="D1" t="s">
        <v>13</v>
      </c>
      <c r="E1" t="s">
        <v>15</v>
      </c>
      <c r="F1" t="s">
        <v>17</v>
      </c>
      <c r="G1" t="s">
        <v>19</v>
      </c>
      <c r="H1" t="s">
        <v>19</v>
      </c>
      <c r="I1" t="s">
        <v>22</v>
      </c>
      <c r="J1" t="s">
        <v>24</v>
      </c>
      <c r="K1" t="s">
        <v>19</v>
      </c>
      <c r="L1" t="s">
        <v>19</v>
      </c>
      <c r="M1" t="s">
        <v>28</v>
      </c>
      <c r="N1" t="s">
        <v>30</v>
      </c>
      <c r="O1" t="s">
        <v>32</v>
      </c>
      <c r="P1" t="s">
        <v>416</v>
      </c>
      <c r="Q1" t="s">
        <v>416</v>
      </c>
      <c r="R1" t="s">
        <v>38</v>
      </c>
      <c r="S1" t="s">
        <v>40</v>
      </c>
      <c r="T1" t="s">
        <v>42</v>
      </c>
      <c r="U1" t="s">
        <v>44</v>
      </c>
      <c r="V1" t="s">
        <v>19</v>
      </c>
      <c r="W1" t="s">
        <v>19</v>
      </c>
      <c r="X1" t="s">
        <v>48</v>
      </c>
      <c r="Y1" t="s">
        <v>50</v>
      </c>
      <c r="Z1" t="s">
        <v>52</v>
      </c>
      <c r="AA1" t="s">
        <v>19</v>
      </c>
      <c r="AB1" t="s">
        <v>19</v>
      </c>
      <c r="AC1" t="s">
        <v>19</v>
      </c>
      <c r="AD1" t="s">
        <v>19</v>
      </c>
      <c r="AE1" t="s">
        <v>19</v>
      </c>
      <c r="AF1" t="s">
        <v>62</v>
      </c>
      <c r="AG1" t="s">
        <v>64</v>
      </c>
      <c r="AH1" t="s">
        <v>19</v>
      </c>
      <c r="AI1" t="s">
        <v>19</v>
      </c>
      <c r="AJ1" t="s">
        <v>19</v>
      </c>
      <c r="AK1" t="s">
        <v>19</v>
      </c>
      <c r="AL1" t="s">
        <v>74</v>
      </c>
      <c r="AM1" t="s">
        <v>76</v>
      </c>
      <c r="AN1" t="s">
        <v>78</v>
      </c>
      <c r="AO1" t="s">
        <v>80</v>
      </c>
      <c r="AP1" t="s">
        <v>82</v>
      </c>
      <c r="AQ1" t="s">
        <v>84</v>
      </c>
      <c r="AR1" t="s">
        <v>86</v>
      </c>
      <c r="AS1" t="s">
        <v>88</v>
      </c>
      <c r="AT1" t="s">
        <v>90</v>
      </c>
      <c r="AU1" t="s">
        <v>19</v>
      </c>
      <c r="AV1" t="s">
        <v>19</v>
      </c>
      <c r="AW1" t="s">
        <v>312</v>
      </c>
      <c r="AX1" t="s">
        <v>19</v>
      </c>
      <c r="AY1" t="s">
        <v>19</v>
      </c>
      <c r="AZ1" t="s">
        <v>19</v>
      </c>
      <c r="BA1" t="s">
        <v>19</v>
      </c>
      <c r="BB1" t="s">
        <v>19</v>
      </c>
      <c r="BC1" t="s">
        <v>417</v>
      </c>
      <c r="BD1" t="s">
        <v>418</v>
      </c>
      <c r="BE1" t="s">
        <v>419</v>
      </c>
      <c r="BF1" t="s">
        <v>420</v>
      </c>
      <c r="BG1" t="s">
        <v>82</v>
      </c>
      <c r="BH1" t="s">
        <v>313</v>
      </c>
      <c r="BI1" t="s">
        <v>86</v>
      </c>
      <c r="BJ1" t="s">
        <v>314</v>
      </c>
      <c r="BK1" t="s">
        <v>421</v>
      </c>
      <c r="BL1" t="s">
        <v>19</v>
      </c>
      <c r="BM1" t="s">
        <v>19</v>
      </c>
      <c r="BN1" t="s">
        <v>19</v>
      </c>
      <c r="BO1" t="s">
        <v>19</v>
      </c>
      <c r="BP1" t="s">
        <v>19</v>
      </c>
      <c r="BQ1" t="s">
        <v>19</v>
      </c>
      <c r="BR1" t="s">
        <v>19</v>
      </c>
      <c r="BS1" t="s">
        <v>19</v>
      </c>
      <c r="BT1" t="s">
        <v>19</v>
      </c>
      <c r="BU1" t="s">
        <v>19</v>
      </c>
      <c r="BV1" t="s">
        <v>19</v>
      </c>
      <c r="BW1" t="s">
        <v>19</v>
      </c>
      <c r="BX1" t="s">
        <v>19</v>
      </c>
      <c r="BY1" t="s">
        <v>19</v>
      </c>
      <c r="BZ1" t="s">
        <v>19</v>
      </c>
      <c r="CA1" t="s">
        <v>19</v>
      </c>
      <c r="CB1" t="s">
        <v>19</v>
      </c>
      <c r="CC1" t="s">
        <v>315</v>
      </c>
      <c r="CD1" t="s">
        <v>19</v>
      </c>
      <c r="CE1" t="s">
        <v>19</v>
      </c>
      <c r="CF1" t="s">
        <v>19</v>
      </c>
      <c r="CG1" t="s">
        <v>422</v>
      </c>
      <c r="CH1" t="s">
        <v>423</v>
      </c>
      <c r="CI1" t="s">
        <v>19</v>
      </c>
      <c r="CJ1" t="s">
        <v>424</v>
      </c>
      <c r="CK1" t="s">
        <v>316</v>
      </c>
      <c r="CL1" t="s">
        <v>19</v>
      </c>
      <c r="CM1" t="s">
        <v>19</v>
      </c>
      <c r="CN1" t="s">
        <v>19</v>
      </c>
      <c r="CO1" t="s">
        <v>19</v>
      </c>
      <c r="CP1" t="s">
        <v>19</v>
      </c>
      <c r="CQ1" t="s">
        <v>19</v>
      </c>
      <c r="CR1" t="s">
        <v>19</v>
      </c>
      <c r="CS1" t="s">
        <v>279</v>
      </c>
      <c r="CT1" t="s">
        <v>280</v>
      </c>
      <c r="CU1" t="s">
        <v>317</v>
      </c>
      <c r="CV1" t="s">
        <v>301</v>
      </c>
      <c r="CW1" t="s">
        <v>281</v>
      </c>
      <c r="CX1" t="s">
        <v>154</v>
      </c>
      <c r="CY1" t="s">
        <v>282</v>
      </c>
      <c r="CZ1" t="s">
        <v>283</v>
      </c>
      <c r="DA1" t="s">
        <v>284</v>
      </c>
      <c r="DB1" t="s">
        <v>299</v>
      </c>
      <c r="DC1" t="s">
        <v>19</v>
      </c>
      <c r="DD1" t="s">
        <v>285</v>
      </c>
      <c r="DE1" t="s">
        <v>286</v>
      </c>
      <c r="DF1" t="s">
        <v>287</v>
      </c>
      <c r="DG1" t="s">
        <v>288</v>
      </c>
      <c r="DH1" t="s">
        <v>19</v>
      </c>
      <c r="DI1" t="s">
        <v>289</v>
      </c>
      <c r="DJ1" t="s">
        <v>156</v>
      </c>
      <c r="DK1" t="s">
        <v>158</v>
      </c>
    </row>
    <row r="2" spans="1:115">
      <c r="A2" s="35" t="s">
        <v>7</v>
      </c>
      <c r="B2" t="s">
        <v>318</v>
      </c>
      <c r="C2" t="s">
        <v>425</v>
      </c>
      <c r="D2" t="s">
        <v>426</v>
      </c>
      <c r="E2" t="s">
        <v>15</v>
      </c>
      <c r="F2" t="s">
        <v>427</v>
      </c>
      <c r="G2" t="s">
        <v>19</v>
      </c>
      <c r="H2" t="s">
        <v>19</v>
      </c>
      <c r="I2" t="s">
        <v>22</v>
      </c>
      <c r="J2" t="s">
        <v>428</v>
      </c>
      <c r="K2" t="s">
        <v>19</v>
      </c>
      <c r="L2" t="s">
        <v>19</v>
      </c>
      <c r="M2" t="s">
        <v>28</v>
      </c>
      <c r="N2" t="s">
        <v>30</v>
      </c>
      <c r="O2" t="s">
        <v>319</v>
      </c>
      <c r="P2" t="s">
        <v>416</v>
      </c>
      <c r="Q2" t="s">
        <v>416</v>
      </c>
      <c r="R2" t="s">
        <v>38</v>
      </c>
      <c r="S2" t="s">
        <v>40</v>
      </c>
      <c r="T2" t="s">
        <v>320</v>
      </c>
      <c r="U2" t="s">
        <v>429</v>
      </c>
      <c r="V2" t="s">
        <v>19</v>
      </c>
      <c r="W2" t="s">
        <v>19</v>
      </c>
      <c r="X2" t="s">
        <v>19</v>
      </c>
      <c r="Y2" t="s">
        <v>19</v>
      </c>
      <c r="Z2" t="s">
        <v>19</v>
      </c>
      <c r="AA2" t="s">
        <v>19</v>
      </c>
      <c r="AB2" t="s">
        <v>19</v>
      </c>
      <c r="AC2" t="s">
        <v>19</v>
      </c>
      <c r="AD2" t="s">
        <v>19</v>
      </c>
      <c r="AE2" t="s">
        <v>19</v>
      </c>
      <c r="AF2" t="s">
        <v>321</v>
      </c>
      <c r="AG2" t="s">
        <v>19</v>
      </c>
      <c r="AH2" t="s">
        <v>19</v>
      </c>
      <c r="AI2" t="s">
        <v>19</v>
      </c>
      <c r="AJ2" t="s">
        <v>19</v>
      </c>
      <c r="AK2" t="s">
        <v>19</v>
      </c>
      <c r="AL2" t="s">
        <v>19</v>
      </c>
      <c r="AM2" t="s">
        <v>430</v>
      </c>
      <c r="AN2" t="s">
        <v>431</v>
      </c>
      <c r="AO2" t="s">
        <v>432</v>
      </c>
      <c r="AP2" t="s">
        <v>82</v>
      </c>
      <c r="AQ2" t="s">
        <v>322</v>
      </c>
      <c r="AR2" t="s">
        <v>86</v>
      </c>
      <c r="AS2" t="s">
        <v>323</v>
      </c>
      <c r="AT2" t="s">
        <v>433</v>
      </c>
      <c r="AU2" t="s">
        <v>19</v>
      </c>
      <c r="AV2" t="s">
        <v>19</v>
      </c>
      <c r="AW2" t="s">
        <v>321</v>
      </c>
      <c r="AX2" t="s">
        <v>19</v>
      </c>
      <c r="AY2" t="s">
        <v>19</v>
      </c>
      <c r="AZ2" t="s">
        <v>19</v>
      </c>
      <c r="BA2" t="s">
        <v>19</v>
      </c>
      <c r="BB2" t="s">
        <v>19</v>
      </c>
      <c r="BC2" t="s">
        <v>19</v>
      </c>
      <c r="BD2" t="s">
        <v>434</v>
      </c>
      <c r="BE2" t="s">
        <v>431</v>
      </c>
      <c r="BF2" t="s">
        <v>432</v>
      </c>
      <c r="BG2" t="s">
        <v>82</v>
      </c>
      <c r="BH2" t="s">
        <v>322</v>
      </c>
      <c r="BI2" t="s">
        <v>86</v>
      </c>
      <c r="BJ2" t="s">
        <v>324</v>
      </c>
      <c r="BK2" t="s">
        <v>435</v>
      </c>
      <c r="BL2" t="s">
        <v>19</v>
      </c>
      <c r="BM2" t="s">
        <v>19</v>
      </c>
      <c r="BN2" t="s">
        <v>321</v>
      </c>
      <c r="BO2" t="s">
        <v>19</v>
      </c>
      <c r="BP2" t="s">
        <v>19</v>
      </c>
      <c r="BQ2" t="s">
        <v>19</v>
      </c>
      <c r="BR2" t="s">
        <v>19</v>
      </c>
      <c r="BS2" t="s">
        <v>19</v>
      </c>
      <c r="BT2" t="s">
        <v>19</v>
      </c>
      <c r="BU2" t="s">
        <v>434</v>
      </c>
      <c r="BV2" t="s">
        <v>431</v>
      </c>
      <c r="BW2" t="s">
        <v>432</v>
      </c>
      <c r="BX2" t="s">
        <v>82</v>
      </c>
      <c r="BY2" t="s">
        <v>322</v>
      </c>
      <c r="BZ2" t="s">
        <v>86</v>
      </c>
      <c r="CA2" t="s">
        <v>325</v>
      </c>
      <c r="CB2" t="s">
        <v>433</v>
      </c>
      <c r="CC2" t="s">
        <v>326</v>
      </c>
      <c r="CD2" t="s">
        <v>19</v>
      </c>
      <c r="CE2" t="s">
        <v>327</v>
      </c>
      <c r="CF2" t="s">
        <v>326</v>
      </c>
      <c r="CG2" t="s">
        <v>19</v>
      </c>
      <c r="CH2" t="s">
        <v>19</v>
      </c>
      <c r="CI2" t="s">
        <v>19</v>
      </c>
      <c r="CJ2" t="s">
        <v>424</v>
      </c>
      <c r="CK2" t="s">
        <v>316</v>
      </c>
      <c r="CL2" t="s">
        <v>19</v>
      </c>
      <c r="CM2" t="s">
        <v>19</v>
      </c>
      <c r="CN2" t="s">
        <v>19</v>
      </c>
      <c r="CO2" t="s">
        <v>19</v>
      </c>
      <c r="CP2" t="s">
        <v>19</v>
      </c>
      <c r="CQ2" t="s">
        <v>19</v>
      </c>
      <c r="CR2" t="s">
        <v>19</v>
      </c>
      <c r="CS2" t="s">
        <v>279</v>
      </c>
      <c r="CT2" t="s">
        <v>280</v>
      </c>
      <c r="CU2" t="s">
        <v>328</v>
      </c>
      <c r="CV2" t="s">
        <v>436</v>
      </c>
      <c r="CW2" t="s">
        <v>281</v>
      </c>
      <c r="CX2" t="s">
        <v>154</v>
      </c>
      <c r="CY2" t="s">
        <v>282</v>
      </c>
      <c r="CZ2" t="s">
        <v>283</v>
      </c>
      <c r="DA2" t="s">
        <v>437</v>
      </c>
      <c r="DB2" t="s">
        <v>438</v>
      </c>
      <c r="DC2" t="s">
        <v>19</v>
      </c>
      <c r="DD2" t="s">
        <v>439</v>
      </c>
      <c r="DE2" t="s">
        <v>329</v>
      </c>
      <c r="DF2" t="s">
        <v>287</v>
      </c>
      <c r="DG2" t="s">
        <v>288</v>
      </c>
      <c r="DH2" t="s">
        <v>19</v>
      </c>
      <c r="DI2" t="s">
        <v>330</v>
      </c>
      <c r="DJ2" t="s">
        <v>440</v>
      </c>
      <c r="DK2" t="s">
        <v>19</v>
      </c>
    </row>
    <row r="3" spans="1:115">
      <c r="A3" s="35" t="s">
        <v>7</v>
      </c>
      <c r="B3" t="s">
        <v>331</v>
      </c>
      <c r="C3" t="s">
        <v>441</v>
      </c>
      <c r="D3" t="s">
        <v>442</v>
      </c>
      <c r="E3" t="s">
        <v>15</v>
      </c>
      <c r="F3" t="s">
        <v>443</v>
      </c>
      <c r="G3" t="s">
        <v>19</v>
      </c>
      <c r="H3" t="s">
        <v>19</v>
      </c>
      <c r="I3" t="s">
        <v>22</v>
      </c>
      <c r="J3" t="s">
        <v>444</v>
      </c>
      <c r="K3" t="s">
        <v>19</v>
      </c>
      <c r="L3" t="s">
        <v>19</v>
      </c>
      <c r="M3" t="s">
        <v>28</v>
      </c>
      <c r="N3" t="s">
        <v>30</v>
      </c>
      <c r="O3" t="s">
        <v>332</v>
      </c>
      <c r="P3" t="s">
        <v>416</v>
      </c>
      <c r="Q3" t="s">
        <v>416</v>
      </c>
      <c r="R3" t="s">
        <v>38</v>
      </c>
      <c r="S3" t="s">
        <v>40</v>
      </c>
      <c r="T3" t="s">
        <v>333</v>
      </c>
      <c r="U3" t="s">
        <v>445</v>
      </c>
      <c r="V3" t="s">
        <v>19</v>
      </c>
      <c r="W3" t="s">
        <v>19</v>
      </c>
      <c r="X3" t="s">
        <v>446</v>
      </c>
      <c r="Y3" t="s">
        <v>334</v>
      </c>
      <c r="Z3" t="s">
        <v>447</v>
      </c>
      <c r="AA3" t="s">
        <v>19</v>
      </c>
      <c r="AB3" t="s">
        <v>19</v>
      </c>
      <c r="AC3" t="s">
        <v>19</v>
      </c>
      <c r="AD3" t="s">
        <v>19</v>
      </c>
      <c r="AE3" t="s">
        <v>19</v>
      </c>
      <c r="AF3" t="s">
        <v>335</v>
      </c>
      <c r="AG3" t="s">
        <v>19</v>
      </c>
      <c r="AH3" t="s">
        <v>19</v>
      </c>
      <c r="AI3" t="s">
        <v>448</v>
      </c>
      <c r="AJ3" t="s">
        <v>19</v>
      </c>
      <c r="AK3" t="s">
        <v>336</v>
      </c>
      <c r="AL3" t="s">
        <v>19</v>
      </c>
      <c r="AM3" t="s">
        <v>449</v>
      </c>
      <c r="AN3" t="s">
        <v>450</v>
      </c>
      <c r="AO3" t="s">
        <v>451</v>
      </c>
      <c r="AP3" t="s">
        <v>82</v>
      </c>
      <c r="AQ3" t="s">
        <v>337</v>
      </c>
      <c r="AR3" t="s">
        <v>86</v>
      </c>
      <c r="AS3" t="s">
        <v>338</v>
      </c>
      <c r="AT3" t="s">
        <v>452</v>
      </c>
      <c r="AU3" t="s">
        <v>19</v>
      </c>
      <c r="AV3" t="s">
        <v>19</v>
      </c>
      <c r="AW3" t="s">
        <v>335</v>
      </c>
      <c r="AX3" t="s">
        <v>19</v>
      </c>
      <c r="AY3" t="s">
        <v>19</v>
      </c>
      <c r="AZ3" t="s">
        <v>448</v>
      </c>
      <c r="BA3" t="s">
        <v>19</v>
      </c>
      <c r="BB3" t="s">
        <v>336</v>
      </c>
      <c r="BC3" t="s">
        <v>19</v>
      </c>
      <c r="BD3" t="s">
        <v>449</v>
      </c>
      <c r="BE3" t="s">
        <v>450</v>
      </c>
      <c r="BF3" t="s">
        <v>451</v>
      </c>
      <c r="BG3" t="s">
        <v>82</v>
      </c>
      <c r="BH3" t="s">
        <v>337</v>
      </c>
      <c r="BI3" t="s">
        <v>86</v>
      </c>
      <c r="BJ3" t="s">
        <v>338</v>
      </c>
      <c r="BK3" t="s">
        <v>452</v>
      </c>
      <c r="BL3" t="s">
        <v>19</v>
      </c>
      <c r="BM3" t="s">
        <v>19</v>
      </c>
      <c r="BN3" t="s">
        <v>19</v>
      </c>
      <c r="BO3" t="s">
        <v>19</v>
      </c>
      <c r="BP3" t="s">
        <v>19</v>
      </c>
      <c r="BQ3" t="s">
        <v>19</v>
      </c>
      <c r="BR3" t="s">
        <v>19</v>
      </c>
      <c r="BS3" t="s">
        <v>19</v>
      </c>
      <c r="BT3" t="s">
        <v>19</v>
      </c>
      <c r="BU3" t="s">
        <v>19</v>
      </c>
      <c r="BV3" t="s">
        <v>19</v>
      </c>
      <c r="BW3" t="s">
        <v>19</v>
      </c>
      <c r="BX3" t="s">
        <v>19</v>
      </c>
      <c r="BY3" t="s">
        <v>19</v>
      </c>
      <c r="BZ3" t="s">
        <v>19</v>
      </c>
      <c r="CA3" t="s">
        <v>19</v>
      </c>
      <c r="CB3" t="s">
        <v>19</v>
      </c>
      <c r="CC3" t="s">
        <v>339</v>
      </c>
      <c r="CD3" t="s">
        <v>19</v>
      </c>
      <c r="CE3" t="s">
        <v>19</v>
      </c>
      <c r="CF3" t="s">
        <v>19</v>
      </c>
      <c r="CG3" t="s">
        <v>19</v>
      </c>
      <c r="CH3" t="s">
        <v>19</v>
      </c>
      <c r="CI3" t="s">
        <v>19</v>
      </c>
      <c r="CJ3" t="s">
        <v>424</v>
      </c>
      <c r="CK3" t="s">
        <v>316</v>
      </c>
      <c r="CL3" t="s">
        <v>19</v>
      </c>
      <c r="CM3" t="s">
        <v>19</v>
      </c>
      <c r="CN3" t="s">
        <v>19</v>
      </c>
      <c r="CO3" t="s">
        <v>19</v>
      </c>
      <c r="CP3" t="s">
        <v>19</v>
      </c>
      <c r="CQ3" t="s">
        <v>19</v>
      </c>
      <c r="CR3" t="s">
        <v>19</v>
      </c>
      <c r="CS3" t="s">
        <v>279</v>
      </c>
      <c r="CT3" t="s">
        <v>280</v>
      </c>
      <c r="CU3" t="s">
        <v>340</v>
      </c>
      <c r="CV3" t="s">
        <v>453</v>
      </c>
      <c r="CW3" t="s">
        <v>281</v>
      </c>
      <c r="CX3" t="s">
        <v>154</v>
      </c>
      <c r="CY3" t="s">
        <v>282</v>
      </c>
      <c r="CZ3" t="s">
        <v>283</v>
      </c>
      <c r="DA3" t="s">
        <v>454</v>
      </c>
      <c r="DB3" t="s">
        <v>299</v>
      </c>
      <c r="DC3" t="s">
        <v>19</v>
      </c>
      <c r="DD3" t="s">
        <v>439</v>
      </c>
      <c r="DE3" t="s">
        <v>341</v>
      </c>
      <c r="DF3" t="s">
        <v>287</v>
      </c>
      <c r="DG3" t="s">
        <v>288</v>
      </c>
      <c r="DH3" t="s">
        <v>19</v>
      </c>
      <c r="DI3" t="s">
        <v>342</v>
      </c>
      <c r="DJ3" t="s">
        <v>156</v>
      </c>
      <c r="DK3" t="s">
        <v>343</v>
      </c>
    </row>
    <row r="4" spans="1:115">
      <c r="A4" s="35" t="s">
        <v>7</v>
      </c>
      <c r="B4" t="s">
        <v>344</v>
      </c>
      <c r="C4" t="s">
        <v>455</v>
      </c>
      <c r="D4" t="s">
        <v>456</v>
      </c>
      <c r="E4" t="s">
        <v>457</v>
      </c>
      <c r="F4" t="s">
        <v>458</v>
      </c>
      <c r="G4" t="s">
        <v>19</v>
      </c>
      <c r="H4" t="s">
        <v>19</v>
      </c>
      <c r="I4" t="s">
        <v>459</v>
      </c>
      <c r="J4" t="s">
        <v>460</v>
      </c>
      <c r="K4" t="s">
        <v>19</v>
      </c>
      <c r="L4" t="s">
        <v>19</v>
      </c>
      <c r="M4" t="s">
        <v>28</v>
      </c>
      <c r="N4" t="s">
        <v>30</v>
      </c>
      <c r="O4" t="s">
        <v>345</v>
      </c>
      <c r="P4" t="s">
        <v>416</v>
      </c>
      <c r="Q4" t="s">
        <v>416</v>
      </c>
      <c r="R4" t="s">
        <v>346</v>
      </c>
      <c r="S4" t="s">
        <v>461</v>
      </c>
      <c r="T4" t="s">
        <v>347</v>
      </c>
      <c r="U4" t="s">
        <v>462</v>
      </c>
      <c r="V4" t="s">
        <v>19</v>
      </c>
      <c r="W4" t="s">
        <v>19</v>
      </c>
      <c r="X4" t="s">
        <v>19</v>
      </c>
      <c r="Y4" t="s">
        <v>19</v>
      </c>
      <c r="Z4" t="s">
        <v>19</v>
      </c>
      <c r="AA4" t="s">
        <v>19</v>
      </c>
      <c r="AB4" t="s">
        <v>19</v>
      </c>
      <c r="AC4" t="s">
        <v>19</v>
      </c>
      <c r="AD4" t="s">
        <v>19</v>
      </c>
      <c r="AE4" t="s">
        <v>19</v>
      </c>
      <c r="AF4" t="s">
        <v>348</v>
      </c>
      <c r="AG4" t="s">
        <v>19</v>
      </c>
      <c r="AH4" t="s">
        <v>19</v>
      </c>
      <c r="AI4" t="s">
        <v>463</v>
      </c>
      <c r="AJ4" t="s">
        <v>19</v>
      </c>
      <c r="AK4" t="s">
        <v>28</v>
      </c>
      <c r="AL4" t="s">
        <v>19</v>
      </c>
      <c r="AM4" t="s">
        <v>464</v>
      </c>
      <c r="AN4" t="s">
        <v>465</v>
      </c>
      <c r="AO4" t="s">
        <v>466</v>
      </c>
      <c r="AP4" t="s">
        <v>82</v>
      </c>
      <c r="AQ4" t="s">
        <v>349</v>
      </c>
      <c r="AR4" t="s">
        <v>86</v>
      </c>
      <c r="AS4" t="s">
        <v>350</v>
      </c>
      <c r="AT4" t="s">
        <v>467</v>
      </c>
      <c r="AU4" t="s">
        <v>19</v>
      </c>
      <c r="AV4" t="s">
        <v>19</v>
      </c>
      <c r="AW4" t="s">
        <v>348</v>
      </c>
      <c r="AX4" t="s">
        <v>19</v>
      </c>
      <c r="AY4" t="s">
        <v>19</v>
      </c>
      <c r="AZ4" t="s">
        <v>468</v>
      </c>
      <c r="BA4" t="s">
        <v>19</v>
      </c>
      <c r="BB4" t="s">
        <v>351</v>
      </c>
      <c r="BC4" t="s">
        <v>19</v>
      </c>
      <c r="BD4" t="s">
        <v>464</v>
      </c>
      <c r="BE4" t="s">
        <v>465</v>
      </c>
      <c r="BF4" t="s">
        <v>466</v>
      </c>
      <c r="BG4" t="s">
        <v>82</v>
      </c>
      <c r="BH4" t="s">
        <v>349</v>
      </c>
      <c r="BI4" t="s">
        <v>86</v>
      </c>
      <c r="BJ4" t="s">
        <v>352</v>
      </c>
      <c r="BK4" t="s">
        <v>469</v>
      </c>
      <c r="BL4" t="s">
        <v>19</v>
      </c>
      <c r="BM4" t="s">
        <v>19</v>
      </c>
      <c r="BN4" t="s">
        <v>19</v>
      </c>
      <c r="BO4" t="s">
        <v>19</v>
      </c>
      <c r="BP4" t="s">
        <v>19</v>
      </c>
      <c r="BQ4" t="s">
        <v>19</v>
      </c>
      <c r="BR4" t="s">
        <v>19</v>
      </c>
      <c r="BS4" t="s">
        <v>19</v>
      </c>
      <c r="BT4" t="s">
        <v>19</v>
      </c>
      <c r="BU4" t="s">
        <v>19</v>
      </c>
      <c r="BV4" t="s">
        <v>19</v>
      </c>
      <c r="BW4" t="s">
        <v>19</v>
      </c>
      <c r="BX4" t="s">
        <v>19</v>
      </c>
      <c r="BY4" t="s">
        <v>19</v>
      </c>
      <c r="BZ4" t="s">
        <v>19</v>
      </c>
      <c r="CA4" t="s">
        <v>19</v>
      </c>
      <c r="CB4" t="s">
        <v>19</v>
      </c>
      <c r="CC4" t="s">
        <v>353</v>
      </c>
      <c r="CD4" t="s">
        <v>19</v>
      </c>
      <c r="CE4" t="s">
        <v>354</v>
      </c>
      <c r="CF4" t="s">
        <v>19</v>
      </c>
      <c r="CG4" t="s">
        <v>19</v>
      </c>
      <c r="CH4" t="s">
        <v>19</v>
      </c>
      <c r="CI4" t="s">
        <v>19</v>
      </c>
      <c r="CJ4" t="s">
        <v>424</v>
      </c>
      <c r="CK4" t="s">
        <v>316</v>
      </c>
      <c r="CL4" t="s">
        <v>19</v>
      </c>
      <c r="CM4" t="s">
        <v>19</v>
      </c>
      <c r="CN4" t="s">
        <v>19</v>
      </c>
      <c r="CO4" t="s">
        <v>19</v>
      </c>
      <c r="CP4" t="s">
        <v>19</v>
      </c>
      <c r="CQ4" t="s">
        <v>19</v>
      </c>
      <c r="CR4" t="s">
        <v>19</v>
      </c>
      <c r="CS4" t="s">
        <v>279</v>
      </c>
      <c r="CT4" t="s">
        <v>280</v>
      </c>
      <c r="CU4" t="s">
        <v>340</v>
      </c>
      <c r="CV4" t="s">
        <v>453</v>
      </c>
      <c r="CW4" t="s">
        <v>281</v>
      </c>
      <c r="CX4" t="s">
        <v>154</v>
      </c>
      <c r="CY4" t="s">
        <v>282</v>
      </c>
      <c r="CZ4" t="s">
        <v>283</v>
      </c>
      <c r="DA4" t="s">
        <v>470</v>
      </c>
      <c r="DB4" t="s">
        <v>471</v>
      </c>
      <c r="DC4" t="s">
        <v>19</v>
      </c>
      <c r="DD4" t="s">
        <v>439</v>
      </c>
      <c r="DE4" t="s">
        <v>355</v>
      </c>
      <c r="DF4" t="s">
        <v>287</v>
      </c>
      <c r="DG4" t="s">
        <v>288</v>
      </c>
      <c r="DH4" t="s">
        <v>19</v>
      </c>
      <c r="DI4" t="s">
        <v>356</v>
      </c>
      <c r="DJ4" t="s">
        <v>440</v>
      </c>
      <c r="DK4" t="s">
        <v>19</v>
      </c>
    </row>
    <row r="5" spans="1:115">
      <c r="A5" s="35" t="s">
        <v>7</v>
      </c>
      <c r="B5" t="s">
        <v>357</v>
      </c>
      <c r="C5" t="s">
        <v>472</v>
      </c>
      <c r="D5" t="s">
        <v>473</v>
      </c>
      <c r="E5" t="s">
        <v>15</v>
      </c>
      <c r="F5" t="s">
        <v>474</v>
      </c>
      <c r="G5" t="s">
        <v>19</v>
      </c>
      <c r="H5" t="s">
        <v>19</v>
      </c>
      <c r="I5" t="s">
        <v>22</v>
      </c>
      <c r="J5" t="s">
        <v>475</v>
      </c>
      <c r="K5" t="s">
        <v>19</v>
      </c>
      <c r="L5" t="s">
        <v>19</v>
      </c>
      <c r="M5" t="s">
        <v>28</v>
      </c>
      <c r="N5" t="s">
        <v>30</v>
      </c>
      <c r="O5" t="s">
        <v>358</v>
      </c>
      <c r="P5" t="s">
        <v>416</v>
      </c>
      <c r="Q5" t="s">
        <v>416</v>
      </c>
      <c r="R5" t="s">
        <v>38</v>
      </c>
      <c r="S5" t="s">
        <v>40</v>
      </c>
      <c r="T5" t="s">
        <v>19</v>
      </c>
      <c r="U5" t="s">
        <v>19</v>
      </c>
      <c r="V5" t="s">
        <v>19</v>
      </c>
      <c r="W5" t="s">
        <v>19</v>
      </c>
      <c r="X5" t="s">
        <v>476</v>
      </c>
      <c r="Y5" t="s">
        <v>359</v>
      </c>
      <c r="Z5" t="s">
        <v>477</v>
      </c>
      <c r="AA5" t="s">
        <v>19</v>
      </c>
      <c r="AB5" t="s">
        <v>19</v>
      </c>
      <c r="AC5" t="s">
        <v>19</v>
      </c>
      <c r="AD5" t="s">
        <v>19</v>
      </c>
      <c r="AE5" t="s">
        <v>19</v>
      </c>
      <c r="AF5" t="s">
        <v>336</v>
      </c>
      <c r="AG5" t="s">
        <v>360</v>
      </c>
      <c r="AH5" t="s">
        <v>19</v>
      </c>
      <c r="AI5" t="s">
        <v>19</v>
      </c>
      <c r="AJ5" t="s">
        <v>19</v>
      </c>
      <c r="AK5" t="s">
        <v>19</v>
      </c>
      <c r="AL5" t="s">
        <v>19</v>
      </c>
      <c r="AM5" t="s">
        <v>478</v>
      </c>
      <c r="AN5" t="s">
        <v>479</v>
      </c>
      <c r="AO5" t="s">
        <v>480</v>
      </c>
      <c r="AP5" t="s">
        <v>481</v>
      </c>
      <c r="AQ5" t="s">
        <v>361</v>
      </c>
      <c r="AR5" t="s">
        <v>86</v>
      </c>
      <c r="AS5" t="s">
        <v>362</v>
      </c>
      <c r="AT5" t="s">
        <v>482</v>
      </c>
      <c r="AU5" t="s">
        <v>19</v>
      </c>
      <c r="AV5" t="s">
        <v>19</v>
      </c>
      <c r="AW5" t="s">
        <v>336</v>
      </c>
      <c r="AX5" t="s">
        <v>360</v>
      </c>
      <c r="AY5" t="s">
        <v>19</v>
      </c>
      <c r="AZ5" t="s">
        <v>19</v>
      </c>
      <c r="BA5" t="s">
        <v>19</v>
      </c>
      <c r="BB5" t="s">
        <v>19</v>
      </c>
      <c r="BC5" t="s">
        <v>19</v>
      </c>
      <c r="BD5" t="s">
        <v>478</v>
      </c>
      <c r="BE5" t="s">
        <v>479</v>
      </c>
      <c r="BF5" t="s">
        <v>480</v>
      </c>
      <c r="BG5" t="s">
        <v>481</v>
      </c>
      <c r="BH5" t="s">
        <v>361</v>
      </c>
      <c r="BI5" t="s">
        <v>86</v>
      </c>
      <c r="BJ5" t="s">
        <v>362</v>
      </c>
      <c r="BK5" t="s">
        <v>482</v>
      </c>
      <c r="BL5" t="s">
        <v>19</v>
      </c>
      <c r="BM5" t="s">
        <v>19</v>
      </c>
      <c r="BN5" t="s">
        <v>19</v>
      </c>
      <c r="BO5" t="s">
        <v>19</v>
      </c>
      <c r="BP5" t="s">
        <v>19</v>
      </c>
      <c r="BQ5" t="s">
        <v>19</v>
      </c>
      <c r="BR5" t="s">
        <v>19</v>
      </c>
      <c r="BS5" t="s">
        <v>19</v>
      </c>
      <c r="BT5" t="s">
        <v>19</v>
      </c>
      <c r="BU5" t="s">
        <v>19</v>
      </c>
      <c r="BV5" t="s">
        <v>19</v>
      </c>
      <c r="BW5" t="s">
        <v>19</v>
      </c>
      <c r="BX5" t="s">
        <v>19</v>
      </c>
      <c r="BY5" t="s">
        <v>19</v>
      </c>
      <c r="BZ5" t="s">
        <v>19</v>
      </c>
      <c r="CA5" t="s">
        <v>19</v>
      </c>
      <c r="CB5" t="s">
        <v>19</v>
      </c>
      <c r="CC5" t="s">
        <v>363</v>
      </c>
      <c r="CD5" t="s">
        <v>364</v>
      </c>
      <c r="CE5" t="s">
        <v>19</v>
      </c>
      <c r="CF5" t="s">
        <v>19</v>
      </c>
      <c r="CG5" t="s">
        <v>19</v>
      </c>
      <c r="CH5" t="s">
        <v>19</v>
      </c>
      <c r="CI5" t="s">
        <v>19</v>
      </c>
      <c r="CJ5" t="s">
        <v>424</v>
      </c>
      <c r="CK5" t="s">
        <v>316</v>
      </c>
      <c r="CL5" t="s">
        <v>19</v>
      </c>
      <c r="CM5" t="s">
        <v>19</v>
      </c>
      <c r="CN5" t="s">
        <v>19</v>
      </c>
      <c r="CO5" t="s">
        <v>19</v>
      </c>
      <c r="CP5" t="s">
        <v>19</v>
      </c>
      <c r="CQ5" t="s">
        <v>19</v>
      </c>
      <c r="CR5" t="s">
        <v>19</v>
      </c>
      <c r="CS5" t="s">
        <v>279</v>
      </c>
      <c r="CT5" t="s">
        <v>280</v>
      </c>
      <c r="CU5" t="s">
        <v>365</v>
      </c>
      <c r="CV5" t="s">
        <v>453</v>
      </c>
      <c r="CW5" t="s">
        <v>281</v>
      </c>
      <c r="CX5" t="s">
        <v>154</v>
      </c>
      <c r="CY5" t="s">
        <v>282</v>
      </c>
      <c r="CZ5" t="s">
        <v>283</v>
      </c>
      <c r="DA5" t="s">
        <v>483</v>
      </c>
      <c r="DB5" t="s">
        <v>299</v>
      </c>
      <c r="DC5" t="s">
        <v>19</v>
      </c>
      <c r="DD5" t="s">
        <v>439</v>
      </c>
      <c r="DE5" t="s">
        <v>366</v>
      </c>
      <c r="DF5" t="s">
        <v>287</v>
      </c>
      <c r="DG5" t="s">
        <v>484</v>
      </c>
      <c r="DH5" t="s">
        <v>19</v>
      </c>
      <c r="DI5" t="s">
        <v>367</v>
      </c>
      <c r="DJ5" t="s">
        <v>19</v>
      </c>
      <c r="DK5" t="s">
        <v>368</v>
      </c>
    </row>
    <row r="6" spans="1:115">
      <c r="A6" s="35" t="s">
        <v>7</v>
      </c>
      <c r="B6" t="s">
        <v>369</v>
      </c>
      <c r="C6" t="s">
        <v>485</v>
      </c>
      <c r="D6" t="s">
        <v>486</v>
      </c>
      <c r="E6" t="s">
        <v>15</v>
      </c>
      <c r="F6" t="s">
        <v>487</v>
      </c>
      <c r="G6" t="s">
        <v>19</v>
      </c>
      <c r="H6" t="s">
        <v>19</v>
      </c>
      <c r="I6" t="s">
        <v>22</v>
      </c>
      <c r="J6" t="s">
        <v>488</v>
      </c>
      <c r="K6" t="s">
        <v>19</v>
      </c>
      <c r="L6" t="s">
        <v>19</v>
      </c>
      <c r="M6" t="s">
        <v>370</v>
      </c>
      <c r="N6" t="s">
        <v>30</v>
      </c>
      <c r="O6" t="s">
        <v>371</v>
      </c>
      <c r="P6" t="s">
        <v>416</v>
      </c>
      <c r="Q6" t="s">
        <v>416</v>
      </c>
      <c r="R6" t="s">
        <v>38</v>
      </c>
      <c r="S6" t="s">
        <v>40</v>
      </c>
      <c r="T6" t="s">
        <v>372</v>
      </c>
      <c r="U6" t="s">
        <v>489</v>
      </c>
      <c r="V6" t="s">
        <v>19</v>
      </c>
      <c r="W6" t="s">
        <v>19</v>
      </c>
      <c r="X6" t="s">
        <v>490</v>
      </c>
      <c r="Y6" t="s">
        <v>373</v>
      </c>
      <c r="Z6" t="s">
        <v>491</v>
      </c>
      <c r="AA6" t="s">
        <v>19</v>
      </c>
      <c r="AB6" t="s">
        <v>19</v>
      </c>
      <c r="AC6" t="s">
        <v>19</v>
      </c>
      <c r="AD6" t="s">
        <v>19</v>
      </c>
      <c r="AE6" t="s">
        <v>19</v>
      </c>
      <c r="AF6" t="s">
        <v>374</v>
      </c>
      <c r="AG6" t="s">
        <v>19</v>
      </c>
      <c r="AH6" t="s">
        <v>19</v>
      </c>
      <c r="AI6" t="s">
        <v>19</v>
      </c>
      <c r="AJ6" t="s">
        <v>19</v>
      </c>
      <c r="AK6" t="s">
        <v>19</v>
      </c>
      <c r="AL6" t="s">
        <v>19</v>
      </c>
      <c r="AM6" t="s">
        <v>492</v>
      </c>
      <c r="AN6" t="s">
        <v>493</v>
      </c>
      <c r="AO6" t="s">
        <v>494</v>
      </c>
      <c r="AP6" t="s">
        <v>82</v>
      </c>
      <c r="AQ6" t="s">
        <v>349</v>
      </c>
      <c r="AR6" t="s">
        <v>86</v>
      </c>
      <c r="AS6" t="s">
        <v>375</v>
      </c>
      <c r="AT6" t="s">
        <v>495</v>
      </c>
      <c r="AU6" t="s">
        <v>19</v>
      </c>
      <c r="AV6" t="s">
        <v>19</v>
      </c>
      <c r="AW6" t="s">
        <v>374</v>
      </c>
      <c r="AX6" t="s">
        <v>19</v>
      </c>
      <c r="AY6" t="s">
        <v>19</v>
      </c>
      <c r="AZ6" t="s">
        <v>19</v>
      </c>
      <c r="BA6" t="s">
        <v>19</v>
      </c>
      <c r="BB6" t="s">
        <v>19</v>
      </c>
      <c r="BC6" t="s">
        <v>19</v>
      </c>
      <c r="BD6" t="s">
        <v>492</v>
      </c>
      <c r="BE6" t="s">
        <v>493</v>
      </c>
      <c r="BF6" t="s">
        <v>494</v>
      </c>
      <c r="BG6" t="s">
        <v>82</v>
      </c>
      <c r="BH6" t="s">
        <v>349</v>
      </c>
      <c r="BI6" t="s">
        <v>86</v>
      </c>
      <c r="BJ6" t="s">
        <v>375</v>
      </c>
      <c r="BK6" t="s">
        <v>495</v>
      </c>
      <c r="BL6" t="s">
        <v>19</v>
      </c>
      <c r="BM6" t="s">
        <v>19</v>
      </c>
      <c r="BN6" t="s">
        <v>374</v>
      </c>
      <c r="BO6" t="s">
        <v>19</v>
      </c>
      <c r="BP6" t="s">
        <v>19</v>
      </c>
      <c r="BQ6" t="s">
        <v>19</v>
      </c>
      <c r="BR6" t="s">
        <v>19</v>
      </c>
      <c r="BS6" t="s">
        <v>19</v>
      </c>
      <c r="BT6" t="s">
        <v>19</v>
      </c>
      <c r="BU6" t="s">
        <v>492</v>
      </c>
      <c r="BV6" t="s">
        <v>493</v>
      </c>
      <c r="BW6" t="s">
        <v>494</v>
      </c>
      <c r="BX6" t="s">
        <v>82</v>
      </c>
      <c r="BY6" t="s">
        <v>349</v>
      </c>
      <c r="BZ6" t="s">
        <v>86</v>
      </c>
      <c r="CA6" t="s">
        <v>375</v>
      </c>
      <c r="CB6" t="s">
        <v>495</v>
      </c>
      <c r="CC6" t="s">
        <v>376</v>
      </c>
      <c r="CD6" t="s">
        <v>19</v>
      </c>
      <c r="CE6" t="s">
        <v>19</v>
      </c>
      <c r="CF6" t="s">
        <v>19</v>
      </c>
      <c r="CG6" t="s">
        <v>19</v>
      </c>
      <c r="CH6" t="s">
        <v>19</v>
      </c>
      <c r="CI6" t="s">
        <v>19</v>
      </c>
      <c r="CJ6" t="s">
        <v>424</v>
      </c>
      <c r="CK6" t="s">
        <v>316</v>
      </c>
      <c r="CL6" t="s">
        <v>19</v>
      </c>
      <c r="CM6" t="s">
        <v>19</v>
      </c>
      <c r="CN6" t="s">
        <v>19</v>
      </c>
      <c r="CO6" t="s">
        <v>19</v>
      </c>
      <c r="CP6" t="s">
        <v>19</v>
      </c>
      <c r="CQ6" t="s">
        <v>19</v>
      </c>
      <c r="CR6" t="s">
        <v>19</v>
      </c>
      <c r="CS6" t="s">
        <v>279</v>
      </c>
      <c r="CT6" t="s">
        <v>280</v>
      </c>
      <c r="CU6" t="s">
        <v>317</v>
      </c>
      <c r="CV6" t="s">
        <v>453</v>
      </c>
      <c r="CW6" t="s">
        <v>281</v>
      </c>
      <c r="CX6" t="s">
        <v>154</v>
      </c>
      <c r="CY6" t="s">
        <v>282</v>
      </c>
      <c r="CZ6" t="s">
        <v>283</v>
      </c>
      <c r="DA6" t="s">
        <v>496</v>
      </c>
      <c r="DB6" t="s">
        <v>497</v>
      </c>
      <c r="DC6" t="s">
        <v>19</v>
      </c>
      <c r="DD6" t="s">
        <v>439</v>
      </c>
      <c r="DE6" t="s">
        <v>377</v>
      </c>
      <c r="DF6" t="s">
        <v>287</v>
      </c>
      <c r="DG6" t="s">
        <v>288</v>
      </c>
      <c r="DH6" t="s">
        <v>498</v>
      </c>
      <c r="DI6" t="s">
        <v>378</v>
      </c>
      <c r="DJ6" t="s">
        <v>440</v>
      </c>
      <c r="DK6" t="s">
        <v>379</v>
      </c>
    </row>
    <row r="7" spans="1:115">
      <c r="A7" s="35" t="s">
        <v>7</v>
      </c>
      <c r="B7" t="s">
        <v>380</v>
      </c>
      <c r="C7" t="s">
        <v>499</v>
      </c>
      <c r="D7" t="s">
        <v>500</v>
      </c>
      <c r="E7" t="s">
        <v>457</v>
      </c>
      <c r="F7" t="s">
        <v>501</v>
      </c>
      <c r="G7" t="s">
        <v>19</v>
      </c>
      <c r="H7" t="s">
        <v>19</v>
      </c>
      <c r="I7" t="s">
        <v>459</v>
      </c>
      <c r="J7" t="s">
        <v>502</v>
      </c>
      <c r="K7" t="s">
        <v>19</v>
      </c>
      <c r="L7" t="s">
        <v>19</v>
      </c>
      <c r="M7" t="s">
        <v>360</v>
      </c>
      <c r="N7" t="s">
        <v>30</v>
      </c>
      <c r="O7" t="s">
        <v>381</v>
      </c>
      <c r="P7" t="s">
        <v>416</v>
      </c>
      <c r="Q7" t="s">
        <v>416</v>
      </c>
      <c r="R7" t="s">
        <v>346</v>
      </c>
      <c r="S7" t="s">
        <v>461</v>
      </c>
      <c r="T7" t="s">
        <v>382</v>
      </c>
      <c r="U7" t="s">
        <v>503</v>
      </c>
      <c r="V7" t="s">
        <v>19</v>
      </c>
      <c r="W7" t="s">
        <v>19</v>
      </c>
      <c r="X7" t="s">
        <v>19</v>
      </c>
      <c r="Y7" t="s">
        <v>19</v>
      </c>
      <c r="Z7" t="s">
        <v>19</v>
      </c>
      <c r="AA7" t="s">
        <v>19</v>
      </c>
      <c r="AB7" t="s">
        <v>19</v>
      </c>
      <c r="AC7" t="s">
        <v>19</v>
      </c>
      <c r="AD7" t="s">
        <v>19</v>
      </c>
      <c r="AE7" t="s">
        <v>19</v>
      </c>
      <c r="AF7" t="s">
        <v>383</v>
      </c>
      <c r="AG7" t="s">
        <v>28</v>
      </c>
      <c r="AH7" t="s">
        <v>19</v>
      </c>
      <c r="AI7" t="s">
        <v>19</v>
      </c>
      <c r="AJ7" t="s">
        <v>19</v>
      </c>
      <c r="AK7" t="s">
        <v>19</v>
      </c>
      <c r="AL7" t="s">
        <v>19</v>
      </c>
      <c r="AM7" t="s">
        <v>504</v>
      </c>
      <c r="AN7" t="s">
        <v>505</v>
      </c>
      <c r="AO7" t="s">
        <v>506</v>
      </c>
      <c r="AP7" t="s">
        <v>507</v>
      </c>
      <c r="AQ7" t="s">
        <v>384</v>
      </c>
      <c r="AR7" t="s">
        <v>86</v>
      </c>
      <c r="AS7" t="s">
        <v>385</v>
      </c>
      <c r="AT7" t="s">
        <v>508</v>
      </c>
      <c r="AU7" t="s">
        <v>19</v>
      </c>
      <c r="AV7" t="s">
        <v>19</v>
      </c>
      <c r="AW7" t="s">
        <v>383</v>
      </c>
      <c r="AX7" t="s">
        <v>28</v>
      </c>
      <c r="AY7" t="s">
        <v>19</v>
      </c>
      <c r="AZ7" t="s">
        <v>19</v>
      </c>
      <c r="BA7" t="s">
        <v>19</v>
      </c>
      <c r="BB7" t="s">
        <v>19</v>
      </c>
      <c r="BC7" t="s">
        <v>19</v>
      </c>
      <c r="BD7" t="s">
        <v>504</v>
      </c>
      <c r="BE7" t="s">
        <v>505</v>
      </c>
      <c r="BF7" t="s">
        <v>506</v>
      </c>
      <c r="BG7" t="s">
        <v>507</v>
      </c>
      <c r="BH7" t="s">
        <v>384</v>
      </c>
      <c r="BI7" t="s">
        <v>86</v>
      </c>
      <c r="BJ7" t="s">
        <v>385</v>
      </c>
      <c r="BK7" t="s">
        <v>508</v>
      </c>
      <c r="BL7" t="s">
        <v>19</v>
      </c>
      <c r="BM7" t="s">
        <v>19</v>
      </c>
      <c r="BN7" t="s">
        <v>383</v>
      </c>
      <c r="BO7" t="s">
        <v>28</v>
      </c>
      <c r="BP7" t="s">
        <v>19</v>
      </c>
      <c r="BQ7" t="s">
        <v>19</v>
      </c>
      <c r="BR7" t="s">
        <v>19</v>
      </c>
      <c r="BS7" t="s">
        <v>19</v>
      </c>
      <c r="BT7" t="s">
        <v>19</v>
      </c>
      <c r="BU7" t="s">
        <v>504</v>
      </c>
      <c r="BV7" t="s">
        <v>505</v>
      </c>
      <c r="BW7" t="s">
        <v>506</v>
      </c>
      <c r="BX7" t="s">
        <v>507</v>
      </c>
      <c r="BY7" t="s">
        <v>384</v>
      </c>
      <c r="BZ7" t="s">
        <v>86</v>
      </c>
      <c r="CA7" t="s">
        <v>385</v>
      </c>
      <c r="CB7" t="s">
        <v>508</v>
      </c>
      <c r="CC7" t="s">
        <v>386</v>
      </c>
      <c r="CD7" t="s">
        <v>19</v>
      </c>
      <c r="CE7" t="s">
        <v>19</v>
      </c>
      <c r="CF7" t="s">
        <v>19</v>
      </c>
      <c r="CG7" t="s">
        <v>19</v>
      </c>
      <c r="CH7" t="s">
        <v>19</v>
      </c>
      <c r="CI7" t="s">
        <v>19</v>
      </c>
      <c r="CJ7" t="s">
        <v>424</v>
      </c>
      <c r="CK7" t="s">
        <v>316</v>
      </c>
      <c r="CL7" t="s">
        <v>19</v>
      </c>
      <c r="CM7" t="s">
        <v>19</v>
      </c>
      <c r="CN7" t="s">
        <v>19</v>
      </c>
      <c r="CO7" t="s">
        <v>19</v>
      </c>
      <c r="CP7" t="s">
        <v>19</v>
      </c>
      <c r="CQ7" t="s">
        <v>19</v>
      </c>
      <c r="CR7" t="s">
        <v>19</v>
      </c>
      <c r="CS7" t="s">
        <v>279</v>
      </c>
      <c r="CT7" t="s">
        <v>280</v>
      </c>
      <c r="CU7" t="s">
        <v>387</v>
      </c>
      <c r="CV7" t="s">
        <v>453</v>
      </c>
      <c r="CW7" t="s">
        <v>281</v>
      </c>
      <c r="CX7" t="s">
        <v>154</v>
      </c>
      <c r="CY7" t="s">
        <v>282</v>
      </c>
      <c r="CZ7" t="s">
        <v>283</v>
      </c>
      <c r="DA7" t="s">
        <v>509</v>
      </c>
      <c r="DB7" t="s">
        <v>510</v>
      </c>
      <c r="DC7" t="s">
        <v>19</v>
      </c>
      <c r="DD7" t="s">
        <v>511</v>
      </c>
      <c r="DE7" t="s">
        <v>388</v>
      </c>
      <c r="DF7" t="s">
        <v>287</v>
      </c>
      <c r="DG7" t="s">
        <v>288</v>
      </c>
      <c r="DH7" t="s">
        <v>19</v>
      </c>
      <c r="DI7" t="s">
        <v>389</v>
      </c>
      <c r="DJ7" t="s">
        <v>440</v>
      </c>
      <c r="DK7" t="s">
        <v>19</v>
      </c>
    </row>
    <row r="8" spans="1:115">
      <c r="A8" s="35" t="s">
        <v>7</v>
      </c>
      <c r="B8" t="s">
        <v>390</v>
      </c>
      <c r="C8" t="s">
        <v>512</v>
      </c>
      <c r="D8" t="s">
        <v>513</v>
      </c>
      <c r="E8" t="s">
        <v>15</v>
      </c>
      <c r="F8" t="s">
        <v>514</v>
      </c>
      <c r="G8" t="s">
        <v>19</v>
      </c>
      <c r="H8" t="s">
        <v>19</v>
      </c>
      <c r="I8" t="s">
        <v>22</v>
      </c>
      <c r="J8" t="s">
        <v>515</v>
      </c>
      <c r="K8" t="s">
        <v>19</v>
      </c>
      <c r="L8" t="s">
        <v>19</v>
      </c>
      <c r="M8" t="s">
        <v>28</v>
      </c>
      <c r="N8" t="s">
        <v>30</v>
      </c>
      <c r="O8" t="s">
        <v>391</v>
      </c>
      <c r="P8" t="s">
        <v>416</v>
      </c>
      <c r="Q8" t="s">
        <v>416</v>
      </c>
      <c r="R8" t="s">
        <v>38</v>
      </c>
      <c r="S8" t="s">
        <v>40</v>
      </c>
      <c r="T8" t="s">
        <v>392</v>
      </c>
      <c r="U8" t="s">
        <v>516</v>
      </c>
      <c r="V8" t="s">
        <v>19</v>
      </c>
      <c r="W8" t="s">
        <v>19</v>
      </c>
      <c r="X8" t="s">
        <v>19</v>
      </c>
      <c r="Y8" t="s">
        <v>19</v>
      </c>
      <c r="Z8" t="s">
        <v>19</v>
      </c>
      <c r="AA8" t="s">
        <v>19</v>
      </c>
      <c r="AB8" t="s">
        <v>19</v>
      </c>
      <c r="AC8" t="s">
        <v>19</v>
      </c>
      <c r="AD8" t="s">
        <v>19</v>
      </c>
      <c r="AE8" t="s">
        <v>19</v>
      </c>
      <c r="AF8" t="s">
        <v>393</v>
      </c>
      <c r="AG8" t="s">
        <v>19</v>
      </c>
      <c r="AH8" t="s">
        <v>19</v>
      </c>
      <c r="AI8" t="s">
        <v>19</v>
      </c>
      <c r="AJ8" t="s">
        <v>19</v>
      </c>
      <c r="AK8" t="s">
        <v>19</v>
      </c>
      <c r="AL8" t="s">
        <v>517</v>
      </c>
      <c r="AM8" t="s">
        <v>518</v>
      </c>
      <c r="AN8" t="s">
        <v>519</v>
      </c>
      <c r="AO8" t="s">
        <v>520</v>
      </c>
      <c r="AP8" t="s">
        <v>82</v>
      </c>
      <c r="AQ8" t="s">
        <v>394</v>
      </c>
      <c r="AR8" t="s">
        <v>86</v>
      </c>
      <c r="AS8" t="s">
        <v>395</v>
      </c>
      <c r="AT8" t="s">
        <v>521</v>
      </c>
      <c r="AU8" t="s">
        <v>19</v>
      </c>
      <c r="AV8" t="s">
        <v>19</v>
      </c>
      <c r="AW8" t="s">
        <v>393</v>
      </c>
      <c r="AX8" t="s">
        <v>19</v>
      </c>
      <c r="AY8" t="s">
        <v>19</v>
      </c>
      <c r="AZ8" t="s">
        <v>19</v>
      </c>
      <c r="BA8" t="s">
        <v>19</v>
      </c>
      <c r="BB8" t="s">
        <v>19</v>
      </c>
      <c r="BC8" t="s">
        <v>522</v>
      </c>
      <c r="BD8" t="s">
        <v>518</v>
      </c>
      <c r="BE8" t="s">
        <v>519</v>
      </c>
      <c r="BF8" t="s">
        <v>520</v>
      </c>
      <c r="BG8" t="s">
        <v>82</v>
      </c>
      <c r="BH8" t="s">
        <v>394</v>
      </c>
      <c r="BI8" t="s">
        <v>86</v>
      </c>
      <c r="BJ8" t="s">
        <v>396</v>
      </c>
      <c r="BK8" t="s">
        <v>521</v>
      </c>
      <c r="BL8" t="s">
        <v>523</v>
      </c>
      <c r="BM8" t="s">
        <v>19</v>
      </c>
      <c r="BN8" t="s">
        <v>393</v>
      </c>
      <c r="BO8" t="s">
        <v>19</v>
      </c>
      <c r="BP8" t="s">
        <v>19</v>
      </c>
      <c r="BQ8" t="s">
        <v>19</v>
      </c>
      <c r="BR8" t="s">
        <v>19</v>
      </c>
      <c r="BS8" t="s">
        <v>19</v>
      </c>
      <c r="BT8" t="s">
        <v>517</v>
      </c>
      <c r="BU8" t="s">
        <v>518</v>
      </c>
      <c r="BV8" t="s">
        <v>519</v>
      </c>
      <c r="BW8" t="s">
        <v>520</v>
      </c>
      <c r="BX8" t="s">
        <v>82</v>
      </c>
      <c r="BY8" t="s">
        <v>394</v>
      </c>
      <c r="BZ8" t="s">
        <v>86</v>
      </c>
      <c r="CA8" t="s">
        <v>395</v>
      </c>
      <c r="CB8" t="s">
        <v>521</v>
      </c>
      <c r="CC8" t="s">
        <v>397</v>
      </c>
      <c r="CD8" t="s">
        <v>19</v>
      </c>
      <c r="CE8" t="s">
        <v>398</v>
      </c>
      <c r="CF8" t="s">
        <v>399</v>
      </c>
      <c r="CG8" t="s">
        <v>524</v>
      </c>
      <c r="CH8" t="s">
        <v>19</v>
      </c>
      <c r="CI8" t="s">
        <v>19</v>
      </c>
      <c r="CJ8" t="s">
        <v>424</v>
      </c>
      <c r="CK8" t="s">
        <v>316</v>
      </c>
      <c r="CL8" t="s">
        <v>19</v>
      </c>
      <c r="CM8" t="s">
        <v>19</v>
      </c>
      <c r="CN8" t="s">
        <v>19</v>
      </c>
      <c r="CO8" t="s">
        <v>19</v>
      </c>
      <c r="CP8" t="s">
        <v>19</v>
      </c>
      <c r="CQ8" t="s">
        <v>19</v>
      </c>
      <c r="CR8" t="s">
        <v>19</v>
      </c>
      <c r="CS8" t="s">
        <v>279</v>
      </c>
      <c r="CT8" t="s">
        <v>400</v>
      </c>
      <c r="CU8" t="s">
        <v>401</v>
      </c>
      <c r="CV8" t="s">
        <v>453</v>
      </c>
      <c r="CW8" t="s">
        <v>281</v>
      </c>
      <c r="CX8" t="s">
        <v>154</v>
      </c>
      <c r="CY8" t="s">
        <v>282</v>
      </c>
      <c r="CZ8" t="s">
        <v>283</v>
      </c>
      <c r="DA8" t="s">
        <v>525</v>
      </c>
      <c r="DB8" t="s">
        <v>299</v>
      </c>
      <c r="DC8" t="s">
        <v>19</v>
      </c>
      <c r="DD8" t="s">
        <v>526</v>
      </c>
      <c r="DE8" t="s">
        <v>402</v>
      </c>
      <c r="DF8" t="s">
        <v>287</v>
      </c>
      <c r="DG8" t="s">
        <v>288</v>
      </c>
      <c r="DH8" t="s">
        <v>19</v>
      </c>
      <c r="DI8" t="s">
        <v>403</v>
      </c>
      <c r="DJ8" t="s">
        <v>156</v>
      </c>
      <c r="DK8" t="s">
        <v>19</v>
      </c>
    </row>
    <row r="9" spans="1:115">
      <c r="A9" s="35" t="s">
        <v>7</v>
      </c>
      <c r="B9" t="s">
        <v>404</v>
      </c>
      <c r="C9" t="s">
        <v>527</v>
      </c>
      <c r="D9" t="s">
        <v>528</v>
      </c>
      <c r="E9" t="s">
        <v>15</v>
      </c>
      <c r="F9" t="s">
        <v>529</v>
      </c>
      <c r="G9" t="s">
        <v>19</v>
      </c>
      <c r="H9" t="s">
        <v>19</v>
      </c>
      <c r="I9" t="s">
        <v>22</v>
      </c>
      <c r="J9" t="s">
        <v>530</v>
      </c>
      <c r="K9" t="s">
        <v>19</v>
      </c>
      <c r="L9" t="s">
        <v>19</v>
      </c>
      <c r="M9" t="s">
        <v>28</v>
      </c>
      <c r="N9" t="s">
        <v>30</v>
      </c>
      <c r="O9" t="s">
        <v>405</v>
      </c>
      <c r="P9" t="s">
        <v>416</v>
      </c>
      <c r="Q9" t="s">
        <v>416</v>
      </c>
      <c r="R9" t="s">
        <v>38</v>
      </c>
      <c r="S9" t="s">
        <v>40</v>
      </c>
      <c r="T9" t="s">
        <v>406</v>
      </c>
      <c r="U9" t="s">
        <v>531</v>
      </c>
      <c r="V9" t="s">
        <v>19</v>
      </c>
      <c r="W9" t="s">
        <v>19</v>
      </c>
      <c r="X9" t="s">
        <v>19</v>
      </c>
      <c r="Y9" t="s">
        <v>19</v>
      </c>
      <c r="Z9" t="s">
        <v>19</v>
      </c>
      <c r="AA9" t="s">
        <v>19</v>
      </c>
      <c r="AB9" t="s">
        <v>19</v>
      </c>
      <c r="AC9" t="s">
        <v>19</v>
      </c>
      <c r="AD9" t="s">
        <v>532</v>
      </c>
      <c r="AE9" t="s">
        <v>19</v>
      </c>
      <c r="AF9" t="s">
        <v>407</v>
      </c>
      <c r="AG9" t="s">
        <v>408</v>
      </c>
      <c r="AH9" t="s">
        <v>533</v>
      </c>
      <c r="AI9" t="s">
        <v>19</v>
      </c>
      <c r="AJ9" t="s">
        <v>19</v>
      </c>
      <c r="AK9" t="s">
        <v>19</v>
      </c>
      <c r="AL9" t="s">
        <v>19</v>
      </c>
      <c r="AM9" t="s">
        <v>534</v>
      </c>
      <c r="AN9" t="s">
        <v>535</v>
      </c>
      <c r="AO9" t="s">
        <v>536</v>
      </c>
      <c r="AP9" t="s">
        <v>82</v>
      </c>
      <c r="AQ9" t="s">
        <v>409</v>
      </c>
      <c r="AR9" t="s">
        <v>86</v>
      </c>
      <c r="AS9" t="s">
        <v>410</v>
      </c>
      <c r="AT9" t="s">
        <v>537</v>
      </c>
      <c r="AU9" t="s">
        <v>532</v>
      </c>
      <c r="AV9" t="s">
        <v>19</v>
      </c>
      <c r="AW9" t="s">
        <v>407</v>
      </c>
      <c r="AX9" t="s">
        <v>408</v>
      </c>
      <c r="AY9" t="s">
        <v>533</v>
      </c>
      <c r="AZ9" t="s">
        <v>19</v>
      </c>
      <c r="BA9" t="s">
        <v>19</v>
      </c>
      <c r="BB9" t="s">
        <v>19</v>
      </c>
      <c r="BC9" t="s">
        <v>19</v>
      </c>
      <c r="BD9" t="s">
        <v>534</v>
      </c>
      <c r="BE9" t="s">
        <v>535</v>
      </c>
      <c r="BF9" t="s">
        <v>536</v>
      </c>
      <c r="BG9" t="s">
        <v>82</v>
      </c>
      <c r="BH9" t="s">
        <v>409</v>
      </c>
      <c r="BI9" t="s">
        <v>86</v>
      </c>
      <c r="BJ9" t="s">
        <v>410</v>
      </c>
      <c r="BK9" t="s">
        <v>537</v>
      </c>
      <c r="BL9" t="s">
        <v>532</v>
      </c>
      <c r="BM9" t="s">
        <v>19</v>
      </c>
      <c r="BN9" t="s">
        <v>407</v>
      </c>
      <c r="BO9" t="s">
        <v>408</v>
      </c>
      <c r="BP9" t="s">
        <v>533</v>
      </c>
      <c r="BQ9" t="s">
        <v>19</v>
      </c>
      <c r="BR9" t="s">
        <v>19</v>
      </c>
      <c r="BS9" t="s">
        <v>19</v>
      </c>
      <c r="BT9" t="s">
        <v>19</v>
      </c>
      <c r="BU9" t="s">
        <v>534</v>
      </c>
      <c r="BV9" t="s">
        <v>535</v>
      </c>
      <c r="BW9" t="s">
        <v>536</v>
      </c>
      <c r="BX9" t="s">
        <v>82</v>
      </c>
      <c r="BY9" t="s">
        <v>409</v>
      </c>
      <c r="BZ9" t="s">
        <v>86</v>
      </c>
      <c r="CA9" t="s">
        <v>410</v>
      </c>
      <c r="CB9" t="s">
        <v>537</v>
      </c>
      <c r="CC9" t="s">
        <v>411</v>
      </c>
      <c r="CD9" t="s">
        <v>19</v>
      </c>
      <c r="CE9" t="s">
        <v>19</v>
      </c>
      <c r="CF9" t="s">
        <v>19</v>
      </c>
      <c r="CG9" t="s">
        <v>538</v>
      </c>
      <c r="CH9" t="s">
        <v>19</v>
      </c>
      <c r="CI9" t="s">
        <v>19</v>
      </c>
      <c r="CJ9" t="s">
        <v>424</v>
      </c>
      <c r="CK9" t="s">
        <v>316</v>
      </c>
      <c r="CL9" t="s">
        <v>19</v>
      </c>
      <c r="CM9" t="s">
        <v>19</v>
      </c>
      <c r="CN9" t="s">
        <v>19</v>
      </c>
      <c r="CO9" t="s">
        <v>19</v>
      </c>
      <c r="CP9" t="s">
        <v>19</v>
      </c>
      <c r="CQ9" t="s">
        <v>19</v>
      </c>
      <c r="CR9" t="s">
        <v>19</v>
      </c>
      <c r="CS9" t="s">
        <v>279</v>
      </c>
      <c r="CT9" t="s">
        <v>280</v>
      </c>
      <c r="CU9" t="s">
        <v>412</v>
      </c>
      <c r="CV9" t="s">
        <v>453</v>
      </c>
      <c r="CW9" t="s">
        <v>281</v>
      </c>
      <c r="CX9" t="s">
        <v>154</v>
      </c>
      <c r="CY9" t="s">
        <v>282</v>
      </c>
      <c r="CZ9" t="s">
        <v>283</v>
      </c>
      <c r="DA9" t="s">
        <v>539</v>
      </c>
      <c r="DB9" t="s">
        <v>299</v>
      </c>
      <c r="DC9" t="s">
        <v>19</v>
      </c>
      <c r="DD9" t="s">
        <v>439</v>
      </c>
      <c r="DE9" t="s">
        <v>413</v>
      </c>
      <c r="DF9" t="s">
        <v>287</v>
      </c>
      <c r="DG9" t="s">
        <v>288</v>
      </c>
      <c r="DH9" t="s">
        <v>19</v>
      </c>
      <c r="DI9" t="s">
        <v>414</v>
      </c>
      <c r="DJ9" t="s">
        <v>440</v>
      </c>
      <c r="DK9" t="s">
        <v>19</v>
      </c>
    </row>
    <row r="10" spans="1:115">
      <c r="A10" s="35" t="s">
        <v>7</v>
      </c>
      <c r="B10" t="s">
        <v>540</v>
      </c>
      <c r="C10" t="s">
        <v>541</v>
      </c>
      <c r="D10" t="s">
        <v>542</v>
      </c>
      <c r="E10" t="s">
        <v>457</v>
      </c>
      <c r="F10" t="s">
        <v>543</v>
      </c>
      <c r="G10" t="s">
        <v>19</v>
      </c>
      <c r="H10" t="s">
        <v>19</v>
      </c>
      <c r="I10" t="s">
        <v>459</v>
      </c>
      <c r="J10" t="s">
        <v>544</v>
      </c>
      <c r="K10" t="s">
        <v>19</v>
      </c>
      <c r="L10" t="s">
        <v>19</v>
      </c>
      <c r="M10" t="s">
        <v>360</v>
      </c>
      <c r="N10" t="s">
        <v>30</v>
      </c>
      <c r="O10" t="s">
        <v>545</v>
      </c>
      <c r="P10" t="s">
        <v>416</v>
      </c>
      <c r="Q10" t="s">
        <v>416</v>
      </c>
      <c r="R10" t="s">
        <v>346</v>
      </c>
      <c r="S10" t="s">
        <v>461</v>
      </c>
      <c r="T10" t="s">
        <v>546</v>
      </c>
      <c r="U10" t="s">
        <v>547</v>
      </c>
      <c r="V10" t="s">
        <v>19</v>
      </c>
      <c r="W10" t="s">
        <v>19</v>
      </c>
      <c r="X10" t="s">
        <v>19</v>
      </c>
      <c r="Y10" t="s">
        <v>19</v>
      </c>
      <c r="Z10" t="s">
        <v>19</v>
      </c>
      <c r="AA10" t="s">
        <v>19</v>
      </c>
      <c r="AB10" t="s">
        <v>19</v>
      </c>
      <c r="AC10" t="s">
        <v>19</v>
      </c>
      <c r="AD10" t="s">
        <v>19</v>
      </c>
      <c r="AE10" t="s">
        <v>19</v>
      </c>
      <c r="AF10" t="s">
        <v>548</v>
      </c>
      <c r="AG10" t="s">
        <v>19</v>
      </c>
      <c r="AH10" t="s">
        <v>19</v>
      </c>
      <c r="AI10" t="s">
        <v>19</v>
      </c>
      <c r="AJ10" t="s">
        <v>19</v>
      </c>
      <c r="AK10" t="s">
        <v>19</v>
      </c>
      <c r="AL10" t="s">
        <v>19</v>
      </c>
      <c r="AM10" t="s">
        <v>549</v>
      </c>
      <c r="AN10" t="s">
        <v>550</v>
      </c>
      <c r="AO10" t="s">
        <v>551</v>
      </c>
      <c r="AP10" t="s">
        <v>82</v>
      </c>
      <c r="AQ10" t="s">
        <v>322</v>
      </c>
      <c r="AR10" t="s">
        <v>86</v>
      </c>
      <c r="AS10" t="s">
        <v>552</v>
      </c>
      <c r="AT10" t="s">
        <v>553</v>
      </c>
      <c r="AU10" t="s">
        <v>19</v>
      </c>
      <c r="AV10" t="s">
        <v>19</v>
      </c>
      <c r="AW10" t="s">
        <v>548</v>
      </c>
      <c r="AX10" t="s">
        <v>19</v>
      </c>
      <c r="AY10" t="s">
        <v>19</v>
      </c>
      <c r="AZ10" t="s">
        <v>19</v>
      </c>
      <c r="BA10" t="s">
        <v>19</v>
      </c>
      <c r="BB10" t="s">
        <v>19</v>
      </c>
      <c r="BC10" t="s">
        <v>19</v>
      </c>
      <c r="BD10" t="s">
        <v>549</v>
      </c>
      <c r="BE10" t="s">
        <v>550</v>
      </c>
      <c r="BF10" t="s">
        <v>551</v>
      </c>
      <c r="BG10" t="s">
        <v>82</v>
      </c>
      <c r="BH10" t="s">
        <v>322</v>
      </c>
      <c r="BI10" t="s">
        <v>86</v>
      </c>
      <c r="BJ10" t="s">
        <v>552</v>
      </c>
      <c r="BK10" t="s">
        <v>553</v>
      </c>
      <c r="BL10" t="s">
        <v>19</v>
      </c>
      <c r="BM10" t="s">
        <v>19</v>
      </c>
      <c r="BN10" t="s">
        <v>548</v>
      </c>
      <c r="BO10" t="s">
        <v>19</v>
      </c>
      <c r="BP10" t="s">
        <v>19</v>
      </c>
      <c r="BQ10" t="s">
        <v>19</v>
      </c>
      <c r="BR10" t="s">
        <v>19</v>
      </c>
      <c r="BS10" t="s">
        <v>19</v>
      </c>
      <c r="BT10" t="s">
        <v>19</v>
      </c>
      <c r="BU10" t="s">
        <v>549</v>
      </c>
      <c r="BV10" t="s">
        <v>550</v>
      </c>
      <c r="BW10" t="s">
        <v>551</v>
      </c>
      <c r="BX10" t="s">
        <v>82</v>
      </c>
      <c r="BY10" t="s">
        <v>322</v>
      </c>
      <c r="BZ10" t="s">
        <v>86</v>
      </c>
      <c r="CA10" t="s">
        <v>552</v>
      </c>
      <c r="CB10" t="s">
        <v>553</v>
      </c>
      <c r="CC10" t="s">
        <v>554</v>
      </c>
      <c r="CD10" t="s">
        <v>19</v>
      </c>
      <c r="CE10" t="s">
        <v>555</v>
      </c>
      <c r="CF10" t="s">
        <v>556</v>
      </c>
      <c r="CG10" t="s">
        <v>557</v>
      </c>
      <c r="CH10" t="s">
        <v>19</v>
      </c>
      <c r="CI10" t="s">
        <v>19</v>
      </c>
      <c r="CJ10" t="s">
        <v>424</v>
      </c>
      <c r="CK10" t="s">
        <v>316</v>
      </c>
      <c r="CL10" t="s">
        <v>19</v>
      </c>
      <c r="CM10" t="s">
        <v>19</v>
      </c>
      <c r="CN10" t="s">
        <v>19</v>
      </c>
      <c r="CO10" t="s">
        <v>19</v>
      </c>
      <c r="CP10" t="s">
        <v>19</v>
      </c>
      <c r="CQ10" t="s">
        <v>19</v>
      </c>
      <c r="CR10" t="s">
        <v>19</v>
      </c>
      <c r="CS10" t="s">
        <v>279</v>
      </c>
      <c r="CT10" t="s">
        <v>280</v>
      </c>
      <c r="CU10" t="s">
        <v>558</v>
      </c>
      <c r="CV10" t="s">
        <v>453</v>
      </c>
      <c r="CW10" t="s">
        <v>281</v>
      </c>
      <c r="CX10" t="s">
        <v>154</v>
      </c>
      <c r="CY10" t="s">
        <v>282</v>
      </c>
      <c r="CZ10" t="s">
        <v>283</v>
      </c>
      <c r="DA10" t="s">
        <v>559</v>
      </c>
      <c r="DB10" t="s">
        <v>299</v>
      </c>
      <c r="DC10" t="s">
        <v>19</v>
      </c>
      <c r="DD10" t="s">
        <v>439</v>
      </c>
      <c r="DE10" t="s">
        <v>560</v>
      </c>
      <c r="DF10" t="s">
        <v>287</v>
      </c>
      <c r="DG10" t="s">
        <v>288</v>
      </c>
      <c r="DH10" t="s">
        <v>19</v>
      </c>
      <c r="DI10" t="s">
        <v>561</v>
      </c>
      <c r="DJ10" t="s">
        <v>440</v>
      </c>
      <c r="DK10" t="s">
        <v>19</v>
      </c>
    </row>
    <row r="11" spans="1:115">
      <c r="A11" s="35" t="s">
        <v>7</v>
      </c>
      <c r="B11" t="s">
        <v>563</v>
      </c>
      <c r="C11" t="s">
        <v>564</v>
      </c>
      <c r="D11" t="s">
        <v>565</v>
      </c>
      <c r="E11" t="s">
        <v>457</v>
      </c>
      <c r="F11" t="s">
        <v>566</v>
      </c>
      <c r="G11" t="s">
        <v>19</v>
      </c>
      <c r="H11" t="s">
        <v>19</v>
      </c>
      <c r="I11" t="s">
        <v>459</v>
      </c>
      <c r="J11" t="s">
        <v>567</v>
      </c>
      <c r="K11" t="s">
        <v>19</v>
      </c>
      <c r="L11" t="s">
        <v>19</v>
      </c>
      <c r="M11" t="s">
        <v>28</v>
      </c>
      <c r="N11" t="s">
        <v>30</v>
      </c>
      <c r="O11" t="s">
        <v>568</v>
      </c>
      <c r="P11" t="s">
        <v>416</v>
      </c>
      <c r="Q11" t="s">
        <v>416</v>
      </c>
      <c r="R11" t="s">
        <v>346</v>
      </c>
      <c r="S11" t="s">
        <v>461</v>
      </c>
      <c r="T11" t="s">
        <v>569</v>
      </c>
      <c r="U11" t="s">
        <v>570</v>
      </c>
      <c r="V11" t="s">
        <v>19</v>
      </c>
      <c r="W11" t="s">
        <v>19</v>
      </c>
      <c r="X11" t="s">
        <v>19</v>
      </c>
      <c r="Y11" t="s">
        <v>19</v>
      </c>
      <c r="Z11" t="s">
        <v>19</v>
      </c>
      <c r="AA11" t="s">
        <v>19</v>
      </c>
      <c r="AB11" t="s">
        <v>19</v>
      </c>
      <c r="AC11" t="s">
        <v>19</v>
      </c>
      <c r="AD11" t="s">
        <v>19</v>
      </c>
      <c r="AE11" t="s">
        <v>19</v>
      </c>
      <c r="AF11" t="s">
        <v>571</v>
      </c>
      <c r="AG11" t="s">
        <v>19</v>
      </c>
      <c r="AH11" t="s">
        <v>19</v>
      </c>
      <c r="AI11" t="s">
        <v>572</v>
      </c>
      <c r="AJ11" t="s">
        <v>19</v>
      </c>
      <c r="AK11" t="s">
        <v>573</v>
      </c>
      <c r="AL11" t="s">
        <v>19</v>
      </c>
      <c r="AM11" t="s">
        <v>574</v>
      </c>
      <c r="AN11" t="s">
        <v>550</v>
      </c>
      <c r="AO11" t="s">
        <v>551</v>
      </c>
      <c r="AP11" t="s">
        <v>82</v>
      </c>
      <c r="AQ11" t="s">
        <v>322</v>
      </c>
      <c r="AR11" t="s">
        <v>86</v>
      </c>
      <c r="AS11" t="s">
        <v>575</v>
      </c>
      <c r="AT11" t="s">
        <v>576</v>
      </c>
      <c r="AU11" t="s">
        <v>19</v>
      </c>
      <c r="AV11" t="s">
        <v>19</v>
      </c>
      <c r="AW11" t="s">
        <v>571</v>
      </c>
      <c r="AX11" t="s">
        <v>19</v>
      </c>
      <c r="AY11" t="s">
        <v>19</v>
      </c>
      <c r="AZ11" t="s">
        <v>572</v>
      </c>
      <c r="BA11" t="s">
        <v>19</v>
      </c>
      <c r="BB11" t="s">
        <v>573</v>
      </c>
      <c r="BC11" t="s">
        <v>19</v>
      </c>
      <c r="BD11" t="s">
        <v>574</v>
      </c>
      <c r="BE11" t="s">
        <v>550</v>
      </c>
      <c r="BF11" t="s">
        <v>551</v>
      </c>
      <c r="BG11" t="s">
        <v>82</v>
      </c>
      <c r="BH11" t="s">
        <v>322</v>
      </c>
      <c r="BI11" t="s">
        <v>86</v>
      </c>
      <c r="BJ11" t="s">
        <v>575</v>
      </c>
      <c r="BK11" t="s">
        <v>576</v>
      </c>
      <c r="BL11" t="s">
        <v>577</v>
      </c>
      <c r="BM11" t="s">
        <v>19</v>
      </c>
      <c r="BN11" t="s">
        <v>571</v>
      </c>
      <c r="BO11" t="s">
        <v>19</v>
      </c>
      <c r="BP11" t="s">
        <v>19</v>
      </c>
      <c r="BQ11" t="s">
        <v>572</v>
      </c>
      <c r="BR11" t="s">
        <v>19</v>
      </c>
      <c r="BS11" t="s">
        <v>573</v>
      </c>
      <c r="BT11" t="s">
        <v>19</v>
      </c>
      <c r="BU11" t="s">
        <v>574</v>
      </c>
      <c r="BV11" t="s">
        <v>550</v>
      </c>
      <c r="BW11" t="s">
        <v>551</v>
      </c>
      <c r="BX11" t="s">
        <v>82</v>
      </c>
      <c r="BY11" t="s">
        <v>322</v>
      </c>
      <c r="BZ11" t="s">
        <v>86</v>
      </c>
      <c r="CA11" t="s">
        <v>575</v>
      </c>
      <c r="CB11" t="s">
        <v>576</v>
      </c>
      <c r="CC11" t="s">
        <v>578</v>
      </c>
      <c r="CD11" t="s">
        <v>19</v>
      </c>
      <c r="CE11" t="s">
        <v>579</v>
      </c>
      <c r="CF11" t="s">
        <v>580</v>
      </c>
      <c r="CG11" t="s">
        <v>581</v>
      </c>
      <c r="CH11" t="s">
        <v>19</v>
      </c>
      <c r="CI11" t="s">
        <v>19</v>
      </c>
      <c r="CJ11" t="s">
        <v>424</v>
      </c>
      <c r="CK11" t="s">
        <v>316</v>
      </c>
      <c r="CL11" t="s">
        <v>19</v>
      </c>
      <c r="CM11" t="s">
        <v>19</v>
      </c>
      <c r="CN11" t="s">
        <v>19</v>
      </c>
      <c r="CO11" t="s">
        <v>19</v>
      </c>
      <c r="CP11" t="s">
        <v>19</v>
      </c>
      <c r="CQ11" t="s">
        <v>19</v>
      </c>
      <c r="CR11" t="s">
        <v>19</v>
      </c>
      <c r="CS11" t="s">
        <v>279</v>
      </c>
      <c r="CT11" t="s">
        <v>280</v>
      </c>
      <c r="CU11" t="s">
        <v>412</v>
      </c>
      <c r="CV11" t="s">
        <v>453</v>
      </c>
      <c r="CW11" t="s">
        <v>281</v>
      </c>
      <c r="CX11" t="s">
        <v>154</v>
      </c>
      <c r="CY11" t="s">
        <v>282</v>
      </c>
      <c r="CZ11" t="s">
        <v>283</v>
      </c>
      <c r="DA11" t="s">
        <v>582</v>
      </c>
      <c r="DB11" t="s">
        <v>583</v>
      </c>
      <c r="DC11" t="s">
        <v>19</v>
      </c>
      <c r="DD11" t="s">
        <v>439</v>
      </c>
      <c r="DE11" t="s">
        <v>584</v>
      </c>
      <c r="DF11" t="s">
        <v>287</v>
      </c>
      <c r="DG11" t="s">
        <v>288</v>
      </c>
      <c r="DH11" t="s">
        <v>19</v>
      </c>
      <c r="DI11" t="s">
        <v>585</v>
      </c>
      <c r="DJ11" t="s">
        <v>440</v>
      </c>
      <c r="DK11" t="s">
        <v>19</v>
      </c>
    </row>
    <row r="12" spans="1:115">
      <c r="A12" s="35" t="s">
        <v>7</v>
      </c>
      <c r="B12" t="s">
        <v>586</v>
      </c>
      <c r="C12" t="s">
        <v>587</v>
      </c>
      <c r="D12" t="s">
        <v>588</v>
      </c>
      <c r="E12" t="s">
        <v>15</v>
      </c>
      <c r="F12" t="s">
        <v>589</v>
      </c>
      <c r="G12" t="s">
        <v>19</v>
      </c>
      <c r="H12" t="s">
        <v>19</v>
      </c>
      <c r="I12" t="s">
        <v>22</v>
      </c>
      <c r="J12" t="s">
        <v>590</v>
      </c>
      <c r="K12" t="s">
        <v>19</v>
      </c>
      <c r="L12" t="s">
        <v>19</v>
      </c>
      <c r="M12" t="s">
        <v>360</v>
      </c>
      <c r="N12" t="s">
        <v>30</v>
      </c>
      <c r="O12" t="s">
        <v>591</v>
      </c>
      <c r="P12" t="s">
        <v>416</v>
      </c>
      <c r="Q12" t="s">
        <v>416</v>
      </c>
      <c r="R12" t="s">
        <v>38</v>
      </c>
      <c r="S12" t="s">
        <v>40</v>
      </c>
      <c r="T12" t="s">
        <v>592</v>
      </c>
      <c r="U12" t="s">
        <v>593</v>
      </c>
      <c r="V12" t="s">
        <v>19</v>
      </c>
      <c r="W12" t="s">
        <v>19</v>
      </c>
      <c r="X12" t="s">
        <v>19</v>
      </c>
      <c r="Y12" t="s">
        <v>19</v>
      </c>
      <c r="Z12" t="s">
        <v>19</v>
      </c>
      <c r="AA12" t="s">
        <v>19</v>
      </c>
      <c r="AB12" t="s">
        <v>19</v>
      </c>
      <c r="AC12" t="s">
        <v>19</v>
      </c>
      <c r="AD12" t="s">
        <v>594</v>
      </c>
      <c r="AE12" t="s">
        <v>19</v>
      </c>
      <c r="AF12" t="s">
        <v>595</v>
      </c>
      <c r="AG12" t="s">
        <v>19</v>
      </c>
      <c r="AH12" t="s">
        <v>19</v>
      </c>
      <c r="AI12" t="s">
        <v>19</v>
      </c>
      <c r="AJ12" t="s">
        <v>19</v>
      </c>
      <c r="AK12" t="s">
        <v>19</v>
      </c>
      <c r="AL12" t="s">
        <v>596</v>
      </c>
      <c r="AM12" t="s">
        <v>597</v>
      </c>
      <c r="AN12" t="s">
        <v>598</v>
      </c>
      <c r="AO12" t="s">
        <v>506</v>
      </c>
      <c r="AP12" t="s">
        <v>599</v>
      </c>
      <c r="AQ12" t="s">
        <v>600</v>
      </c>
      <c r="AR12" t="s">
        <v>86</v>
      </c>
      <c r="AS12" t="s">
        <v>601</v>
      </c>
      <c r="AT12" t="s">
        <v>602</v>
      </c>
      <c r="AU12" t="s">
        <v>594</v>
      </c>
      <c r="AV12" t="s">
        <v>19</v>
      </c>
      <c r="AW12" t="s">
        <v>595</v>
      </c>
      <c r="AX12" t="s">
        <v>19</v>
      </c>
      <c r="AY12" t="s">
        <v>19</v>
      </c>
      <c r="AZ12" t="s">
        <v>19</v>
      </c>
      <c r="BA12" t="s">
        <v>19</v>
      </c>
      <c r="BB12" t="s">
        <v>19</v>
      </c>
      <c r="BC12" t="s">
        <v>596</v>
      </c>
      <c r="BD12" t="s">
        <v>597</v>
      </c>
      <c r="BE12" t="s">
        <v>598</v>
      </c>
      <c r="BF12" t="s">
        <v>506</v>
      </c>
      <c r="BG12" t="s">
        <v>599</v>
      </c>
      <c r="BH12" t="s">
        <v>600</v>
      </c>
      <c r="BI12" t="s">
        <v>86</v>
      </c>
      <c r="BJ12" t="s">
        <v>601</v>
      </c>
      <c r="BK12" t="s">
        <v>602</v>
      </c>
      <c r="BL12" t="s">
        <v>594</v>
      </c>
      <c r="BM12" t="s">
        <v>19</v>
      </c>
      <c r="BN12" t="s">
        <v>595</v>
      </c>
      <c r="BO12" t="s">
        <v>19</v>
      </c>
      <c r="BP12" t="s">
        <v>19</v>
      </c>
      <c r="BQ12" t="s">
        <v>19</v>
      </c>
      <c r="BR12" t="s">
        <v>19</v>
      </c>
      <c r="BS12" t="s">
        <v>19</v>
      </c>
      <c r="BT12" t="s">
        <v>596</v>
      </c>
      <c r="BU12" t="s">
        <v>597</v>
      </c>
      <c r="BV12" t="s">
        <v>598</v>
      </c>
      <c r="BW12" t="s">
        <v>506</v>
      </c>
      <c r="BX12" t="s">
        <v>599</v>
      </c>
      <c r="BY12" t="s">
        <v>600</v>
      </c>
      <c r="BZ12" t="s">
        <v>86</v>
      </c>
      <c r="CA12" t="s">
        <v>601</v>
      </c>
      <c r="CB12" t="s">
        <v>602</v>
      </c>
      <c r="CC12" t="s">
        <v>603</v>
      </c>
      <c r="CD12" t="s">
        <v>604</v>
      </c>
      <c r="CE12" t="s">
        <v>605</v>
      </c>
      <c r="CF12" t="s">
        <v>606</v>
      </c>
      <c r="CG12" t="s">
        <v>607</v>
      </c>
      <c r="CH12" t="s">
        <v>19</v>
      </c>
      <c r="CI12" t="s">
        <v>19</v>
      </c>
      <c r="CJ12" t="s">
        <v>424</v>
      </c>
      <c r="CK12" t="s">
        <v>316</v>
      </c>
      <c r="CL12" t="s">
        <v>19</v>
      </c>
      <c r="CM12" t="s">
        <v>19</v>
      </c>
      <c r="CN12" t="s">
        <v>19</v>
      </c>
      <c r="CO12" t="s">
        <v>19</v>
      </c>
      <c r="CP12" t="s">
        <v>19</v>
      </c>
      <c r="CQ12" t="s">
        <v>19</v>
      </c>
      <c r="CR12" t="s">
        <v>19</v>
      </c>
      <c r="CS12" t="s">
        <v>279</v>
      </c>
      <c r="CT12" t="s">
        <v>280</v>
      </c>
      <c r="CU12" t="s">
        <v>387</v>
      </c>
      <c r="CV12" t="s">
        <v>453</v>
      </c>
      <c r="CW12" t="s">
        <v>281</v>
      </c>
      <c r="CX12" t="s">
        <v>154</v>
      </c>
      <c r="CY12" t="s">
        <v>282</v>
      </c>
      <c r="CZ12" t="s">
        <v>283</v>
      </c>
      <c r="DA12" t="s">
        <v>496</v>
      </c>
      <c r="DB12" t="s">
        <v>299</v>
      </c>
      <c r="DC12" t="s">
        <v>19</v>
      </c>
      <c r="DD12" t="s">
        <v>439</v>
      </c>
      <c r="DE12" t="s">
        <v>608</v>
      </c>
      <c r="DF12" t="s">
        <v>287</v>
      </c>
      <c r="DG12" t="s">
        <v>288</v>
      </c>
      <c r="DH12" t="s">
        <v>19</v>
      </c>
      <c r="DI12" t="s">
        <v>609</v>
      </c>
      <c r="DJ12" t="s">
        <v>156</v>
      </c>
      <c r="DK12" t="s">
        <v>19</v>
      </c>
    </row>
    <row r="13" spans="1:115">
      <c r="A13" s="35" t="s">
        <v>7</v>
      </c>
      <c r="B13" t="s">
        <v>610</v>
      </c>
      <c r="C13" t="s">
        <v>611</v>
      </c>
      <c r="D13" t="s">
        <v>612</v>
      </c>
      <c r="E13" t="s">
        <v>15</v>
      </c>
      <c r="F13" t="s">
        <v>613</v>
      </c>
      <c r="G13" t="s">
        <v>19</v>
      </c>
      <c r="H13" t="s">
        <v>19</v>
      </c>
      <c r="I13" t="s">
        <v>22</v>
      </c>
      <c r="J13" t="s">
        <v>614</v>
      </c>
      <c r="K13" t="s">
        <v>19</v>
      </c>
      <c r="L13" t="s">
        <v>19</v>
      </c>
      <c r="M13" t="s">
        <v>28</v>
      </c>
      <c r="N13" t="s">
        <v>30</v>
      </c>
      <c r="O13" t="s">
        <v>615</v>
      </c>
      <c r="P13" t="s">
        <v>416</v>
      </c>
      <c r="Q13" t="s">
        <v>416</v>
      </c>
      <c r="R13" t="s">
        <v>38</v>
      </c>
      <c r="S13" t="s">
        <v>40</v>
      </c>
      <c r="T13" t="s">
        <v>616</v>
      </c>
      <c r="U13" t="s">
        <v>617</v>
      </c>
      <c r="V13" t="s">
        <v>19</v>
      </c>
      <c r="W13" t="s">
        <v>19</v>
      </c>
      <c r="X13" t="s">
        <v>618</v>
      </c>
      <c r="Y13" t="s">
        <v>619</v>
      </c>
      <c r="Z13" t="s">
        <v>620</v>
      </c>
      <c r="AA13" t="s">
        <v>19</v>
      </c>
      <c r="AB13" t="s">
        <v>19</v>
      </c>
      <c r="AC13" t="s">
        <v>19</v>
      </c>
      <c r="AD13" t="s">
        <v>621</v>
      </c>
      <c r="AE13" t="s">
        <v>19</v>
      </c>
      <c r="AF13" t="s">
        <v>622</v>
      </c>
      <c r="AG13" t="s">
        <v>28</v>
      </c>
      <c r="AH13" t="s">
        <v>19</v>
      </c>
      <c r="AI13" t="s">
        <v>623</v>
      </c>
      <c r="AJ13" t="s">
        <v>19</v>
      </c>
      <c r="AK13" t="s">
        <v>19</v>
      </c>
      <c r="AL13" t="s">
        <v>19</v>
      </c>
      <c r="AM13" t="s">
        <v>19</v>
      </c>
      <c r="AN13" t="s">
        <v>624</v>
      </c>
      <c r="AO13" t="s">
        <v>506</v>
      </c>
      <c r="AP13" t="s">
        <v>625</v>
      </c>
      <c r="AQ13" t="s">
        <v>626</v>
      </c>
      <c r="AR13" t="s">
        <v>86</v>
      </c>
      <c r="AS13" t="s">
        <v>627</v>
      </c>
      <c r="AT13" t="s">
        <v>628</v>
      </c>
      <c r="AU13" t="s">
        <v>19</v>
      </c>
      <c r="AV13" t="s">
        <v>19</v>
      </c>
      <c r="AW13" t="s">
        <v>629</v>
      </c>
      <c r="AX13" t="s">
        <v>19</v>
      </c>
      <c r="AY13" t="s">
        <v>19</v>
      </c>
      <c r="AZ13" t="s">
        <v>630</v>
      </c>
      <c r="BA13" t="s">
        <v>19</v>
      </c>
      <c r="BB13" t="s">
        <v>631</v>
      </c>
      <c r="BC13" t="s">
        <v>19</v>
      </c>
      <c r="BD13" t="s">
        <v>449</v>
      </c>
      <c r="BE13" t="s">
        <v>450</v>
      </c>
      <c r="BF13" t="s">
        <v>451</v>
      </c>
      <c r="BG13" t="s">
        <v>82</v>
      </c>
      <c r="BH13" t="s">
        <v>337</v>
      </c>
      <c r="BI13" t="s">
        <v>86</v>
      </c>
      <c r="BJ13" t="s">
        <v>632</v>
      </c>
      <c r="BK13" t="s">
        <v>633</v>
      </c>
      <c r="BL13" t="s">
        <v>19</v>
      </c>
      <c r="BM13" t="s">
        <v>19</v>
      </c>
      <c r="BN13" t="s">
        <v>629</v>
      </c>
      <c r="BO13" t="s">
        <v>19</v>
      </c>
      <c r="BP13" t="s">
        <v>19</v>
      </c>
      <c r="BQ13" t="s">
        <v>630</v>
      </c>
      <c r="BR13" t="s">
        <v>19</v>
      </c>
      <c r="BS13" t="s">
        <v>631</v>
      </c>
      <c r="BT13" t="s">
        <v>19</v>
      </c>
      <c r="BU13" t="s">
        <v>449</v>
      </c>
      <c r="BV13" t="s">
        <v>450</v>
      </c>
      <c r="BW13" t="s">
        <v>451</v>
      </c>
      <c r="BX13" t="s">
        <v>82</v>
      </c>
      <c r="BY13" t="s">
        <v>337</v>
      </c>
      <c r="BZ13" t="s">
        <v>86</v>
      </c>
      <c r="CA13" t="s">
        <v>632</v>
      </c>
      <c r="CB13" t="s">
        <v>633</v>
      </c>
      <c r="CC13" t="s">
        <v>634</v>
      </c>
      <c r="CD13" t="s">
        <v>19</v>
      </c>
      <c r="CE13" t="s">
        <v>635</v>
      </c>
      <c r="CF13" t="s">
        <v>19</v>
      </c>
      <c r="CG13" t="s">
        <v>636</v>
      </c>
      <c r="CH13" t="s">
        <v>19</v>
      </c>
      <c r="CI13" t="s">
        <v>19</v>
      </c>
      <c r="CJ13" t="s">
        <v>424</v>
      </c>
      <c r="CK13" t="s">
        <v>316</v>
      </c>
      <c r="CL13" t="s">
        <v>19</v>
      </c>
      <c r="CM13" t="s">
        <v>19</v>
      </c>
      <c r="CN13" t="s">
        <v>19</v>
      </c>
      <c r="CO13" t="s">
        <v>19</v>
      </c>
      <c r="CP13" t="s">
        <v>19</v>
      </c>
      <c r="CQ13" t="s">
        <v>19</v>
      </c>
      <c r="CR13" t="s">
        <v>19</v>
      </c>
      <c r="CS13" t="s">
        <v>279</v>
      </c>
      <c r="CT13" t="s">
        <v>280</v>
      </c>
      <c r="CU13" t="s">
        <v>637</v>
      </c>
      <c r="CV13" t="s">
        <v>638</v>
      </c>
      <c r="CW13" t="s">
        <v>281</v>
      </c>
      <c r="CX13" t="s">
        <v>154</v>
      </c>
      <c r="CY13" t="s">
        <v>282</v>
      </c>
      <c r="CZ13" t="s">
        <v>283</v>
      </c>
      <c r="DA13" t="s">
        <v>639</v>
      </c>
      <c r="DB13" t="s">
        <v>497</v>
      </c>
      <c r="DC13" t="s">
        <v>19</v>
      </c>
      <c r="DD13" t="s">
        <v>439</v>
      </c>
      <c r="DE13" t="s">
        <v>640</v>
      </c>
      <c r="DF13" t="s">
        <v>287</v>
      </c>
      <c r="DG13" t="s">
        <v>288</v>
      </c>
      <c r="DH13" t="s">
        <v>19</v>
      </c>
      <c r="DI13" t="s">
        <v>641</v>
      </c>
      <c r="DJ13" t="s">
        <v>642</v>
      </c>
      <c r="DK13" t="s">
        <v>643</v>
      </c>
    </row>
    <row r="14" spans="1:115">
      <c r="A14" s="35" t="s">
        <v>7</v>
      </c>
      <c r="B14" t="s">
        <v>644</v>
      </c>
      <c r="C14" t="s">
        <v>645</v>
      </c>
      <c r="D14" t="s">
        <v>646</v>
      </c>
      <c r="E14" t="s">
        <v>15</v>
      </c>
      <c r="F14" t="s">
        <v>647</v>
      </c>
      <c r="G14" t="s">
        <v>19</v>
      </c>
      <c r="H14" t="s">
        <v>19</v>
      </c>
      <c r="I14" t="s">
        <v>22</v>
      </c>
      <c r="J14" t="s">
        <v>648</v>
      </c>
      <c r="K14" t="s">
        <v>19</v>
      </c>
      <c r="L14" t="s">
        <v>19</v>
      </c>
      <c r="M14" t="s">
        <v>28</v>
      </c>
      <c r="N14" t="s">
        <v>30</v>
      </c>
      <c r="O14" t="s">
        <v>649</v>
      </c>
      <c r="P14" t="s">
        <v>416</v>
      </c>
      <c r="Q14" t="s">
        <v>416</v>
      </c>
      <c r="R14" t="s">
        <v>38</v>
      </c>
      <c r="S14" t="s">
        <v>40</v>
      </c>
      <c r="T14" t="s">
        <v>650</v>
      </c>
      <c r="U14" t="s">
        <v>651</v>
      </c>
      <c r="V14" t="s">
        <v>19</v>
      </c>
      <c r="W14" t="s">
        <v>19</v>
      </c>
      <c r="X14" t="s">
        <v>652</v>
      </c>
      <c r="Y14" t="s">
        <v>653</v>
      </c>
      <c r="Z14" t="s">
        <v>654</v>
      </c>
      <c r="AA14" t="s">
        <v>19</v>
      </c>
      <c r="AB14" t="s">
        <v>19</v>
      </c>
      <c r="AC14" t="s">
        <v>19</v>
      </c>
      <c r="AD14" t="s">
        <v>19</v>
      </c>
      <c r="AE14" t="s">
        <v>19</v>
      </c>
      <c r="AF14" t="s">
        <v>655</v>
      </c>
      <c r="AG14" t="s">
        <v>64</v>
      </c>
      <c r="AH14" t="s">
        <v>19</v>
      </c>
      <c r="AI14" t="s">
        <v>19</v>
      </c>
      <c r="AJ14" t="s">
        <v>19</v>
      </c>
      <c r="AK14" t="s">
        <v>19</v>
      </c>
      <c r="AL14" t="s">
        <v>64</v>
      </c>
      <c r="AM14" t="s">
        <v>656</v>
      </c>
      <c r="AN14" t="s">
        <v>657</v>
      </c>
      <c r="AO14" t="s">
        <v>494</v>
      </c>
      <c r="AP14" t="s">
        <v>82</v>
      </c>
      <c r="AQ14" t="s">
        <v>349</v>
      </c>
      <c r="AR14" t="s">
        <v>86</v>
      </c>
      <c r="AS14" t="s">
        <v>658</v>
      </c>
      <c r="AT14" t="s">
        <v>495</v>
      </c>
      <c r="AU14" t="s">
        <v>659</v>
      </c>
      <c r="AV14" t="s">
        <v>19</v>
      </c>
      <c r="AW14" t="s">
        <v>655</v>
      </c>
      <c r="AX14" t="s">
        <v>19</v>
      </c>
      <c r="AY14" t="s">
        <v>19</v>
      </c>
      <c r="AZ14" t="s">
        <v>656</v>
      </c>
      <c r="BA14" t="s">
        <v>19</v>
      </c>
      <c r="BB14" t="s">
        <v>19</v>
      </c>
      <c r="BC14" t="s">
        <v>19</v>
      </c>
      <c r="BD14" t="s">
        <v>19</v>
      </c>
      <c r="BE14" t="s">
        <v>657</v>
      </c>
      <c r="BF14" t="s">
        <v>494</v>
      </c>
      <c r="BG14" t="s">
        <v>82</v>
      </c>
      <c r="BH14" t="s">
        <v>349</v>
      </c>
      <c r="BI14" t="s">
        <v>86</v>
      </c>
      <c r="BJ14" t="s">
        <v>660</v>
      </c>
      <c r="BK14" t="s">
        <v>495</v>
      </c>
      <c r="BL14" t="s">
        <v>661</v>
      </c>
      <c r="BM14" t="s">
        <v>19</v>
      </c>
      <c r="BN14" t="s">
        <v>662</v>
      </c>
      <c r="BO14" t="s">
        <v>663</v>
      </c>
      <c r="BP14" t="s">
        <v>19</v>
      </c>
      <c r="BQ14" t="s">
        <v>19</v>
      </c>
      <c r="BR14" t="s">
        <v>19</v>
      </c>
      <c r="BS14" t="s">
        <v>19</v>
      </c>
      <c r="BT14" t="s">
        <v>19</v>
      </c>
      <c r="BU14" t="s">
        <v>19</v>
      </c>
      <c r="BV14" t="s">
        <v>664</v>
      </c>
      <c r="BW14" t="s">
        <v>506</v>
      </c>
      <c r="BX14" t="s">
        <v>665</v>
      </c>
      <c r="BY14" t="s">
        <v>666</v>
      </c>
      <c r="BZ14" t="s">
        <v>86</v>
      </c>
      <c r="CA14" t="s">
        <v>667</v>
      </c>
      <c r="CB14" t="s">
        <v>668</v>
      </c>
      <c r="CC14" t="s">
        <v>669</v>
      </c>
      <c r="CD14" t="s">
        <v>19</v>
      </c>
      <c r="CE14" t="s">
        <v>670</v>
      </c>
      <c r="CF14" t="s">
        <v>19</v>
      </c>
      <c r="CG14" t="s">
        <v>19</v>
      </c>
      <c r="CH14" t="s">
        <v>19</v>
      </c>
      <c r="CI14" t="s">
        <v>19</v>
      </c>
      <c r="CJ14" t="s">
        <v>424</v>
      </c>
      <c r="CK14" t="s">
        <v>316</v>
      </c>
      <c r="CL14" t="s">
        <v>19</v>
      </c>
      <c r="CM14" t="s">
        <v>19</v>
      </c>
      <c r="CN14" t="s">
        <v>19</v>
      </c>
      <c r="CO14" t="s">
        <v>19</v>
      </c>
      <c r="CP14" t="s">
        <v>19</v>
      </c>
      <c r="CQ14" t="s">
        <v>19</v>
      </c>
      <c r="CR14" t="s">
        <v>19</v>
      </c>
      <c r="CS14" t="s">
        <v>279</v>
      </c>
      <c r="CT14" t="s">
        <v>280</v>
      </c>
      <c r="CU14" t="s">
        <v>328</v>
      </c>
      <c r="CV14" t="s">
        <v>453</v>
      </c>
      <c r="CW14" t="s">
        <v>281</v>
      </c>
      <c r="CX14" t="s">
        <v>154</v>
      </c>
      <c r="CY14" t="s">
        <v>282</v>
      </c>
      <c r="CZ14" t="s">
        <v>283</v>
      </c>
      <c r="DA14" t="s">
        <v>671</v>
      </c>
      <c r="DB14" t="s">
        <v>672</v>
      </c>
      <c r="DC14" t="s">
        <v>19</v>
      </c>
      <c r="DD14" t="s">
        <v>439</v>
      </c>
      <c r="DE14" t="s">
        <v>673</v>
      </c>
      <c r="DF14" t="s">
        <v>287</v>
      </c>
      <c r="DG14" t="s">
        <v>288</v>
      </c>
      <c r="DH14" t="s">
        <v>19</v>
      </c>
      <c r="DI14" t="s">
        <v>674</v>
      </c>
      <c r="DJ14" t="s">
        <v>440</v>
      </c>
      <c r="DK14" t="s">
        <v>675</v>
      </c>
    </row>
    <row r="15" spans="1:115">
      <c r="A15" s="35" t="s">
        <v>7</v>
      </c>
      <c r="B15" t="s">
        <v>676</v>
      </c>
      <c r="C15" t="s">
        <v>677</v>
      </c>
      <c r="D15" t="s">
        <v>678</v>
      </c>
      <c r="E15" t="s">
        <v>457</v>
      </c>
      <c r="F15" t="s">
        <v>679</v>
      </c>
      <c r="G15" t="s">
        <v>19</v>
      </c>
      <c r="H15" t="s">
        <v>19</v>
      </c>
      <c r="I15" t="s">
        <v>459</v>
      </c>
      <c r="J15" t="s">
        <v>680</v>
      </c>
      <c r="K15" t="s">
        <v>19</v>
      </c>
      <c r="L15" t="s">
        <v>19</v>
      </c>
      <c r="M15" t="s">
        <v>360</v>
      </c>
      <c r="N15" t="s">
        <v>30</v>
      </c>
      <c r="O15" t="s">
        <v>681</v>
      </c>
      <c r="P15" t="s">
        <v>416</v>
      </c>
      <c r="Q15" t="s">
        <v>416</v>
      </c>
      <c r="R15" t="s">
        <v>346</v>
      </c>
      <c r="S15" t="s">
        <v>461</v>
      </c>
      <c r="T15" t="s">
        <v>682</v>
      </c>
      <c r="U15" t="s">
        <v>683</v>
      </c>
      <c r="V15" t="s">
        <v>19</v>
      </c>
      <c r="W15" t="s">
        <v>19</v>
      </c>
      <c r="X15" t="s">
        <v>19</v>
      </c>
      <c r="Y15" t="s">
        <v>19</v>
      </c>
      <c r="Z15" t="s">
        <v>19</v>
      </c>
      <c r="AA15" t="s">
        <v>19</v>
      </c>
      <c r="AB15" t="s">
        <v>19</v>
      </c>
      <c r="AC15" t="s">
        <v>19</v>
      </c>
      <c r="AD15" t="s">
        <v>19</v>
      </c>
      <c r="AE15" t="s">
        <v>19</v>
      </c>
      <c r="AF15" t="s">
        <v>684</v>
      </c>
      <c r="AG15" t="s">
        <v>19</v>
      </c>
      <c r="AH15" t="s">
        <v>19</v>
      </c>
      <c r="AI15" t="s">
        <v>685</v>
      </c>
      <c r="AJ15" t="s">
        <v>19</v>
      </c>
      <c r="AK15" t="s">
        <v>19</v>
      </c>
      <c r="AL15" t="s">
        <v>19</v>
      </c>
      <c r="AM15" t="s">
        <v>686</v>
      </c>
      <c r="AN15" t="s">
        <v>687</v>
      </c>
      <c r="AO15" t="s">
        <v>688</v>
      </c>
      <c r="AP15" t="s">
        <v>82</v>
      </c>
      <c r="AQ15" t="s">
        <v>689</v>
      </c>
      <c r="AR15" t="s">
        <v>86</v>
      </c>
      <c r="AS15" t="s">
        <v>690</v>
      </c>
      <c r="AT15" t="s">
        <v>691</v>
      </c>
      <c r="AU15" t="s">
        <v>19</v>
      </c>
      <c r="AV15" t="s">
        <v>19</v>
      </c>
      <c r="AW15" t="s">
        <v>684</v>
      </c>
      <c r="AX15" t="s">
        <v>19</v>
      </c>
      <c r="AY15" t="s">
        <v>19</v>
      </c>
      <c r="AZ15" t="s">
        <v>692</v>
      </c>
      <c r="BA15" t="s">
        <v>19</v>
      </c>
      <c r="BB15" t="s">
        <v>19</v>
      </c>
      <c r="BC15" t="s">
        <v>19</v>
      </c>
      <c r="BD15" t="s">
        <v>686</v>
      </c>
      <c r="BE15" t="s">
        <v>687</v>
      </c>
      <c r="BF15" t="s">
        <v>688</v>
      </c>
      <c r="BG15" t="s">
        <v>82</v>
      </c>
      <c r="BH15" t="s">
        <v>689</v>
      </c>
      <c r="BI15" t="s">
        <v>86</v>
      </c>
      <c r="BJ15" t="s">
        <v>693</v>
      </c>
      <c r="BK15" t="s">
        <v>691</v>
      </c>
      <c r="BL15" t="s">
        <v>19</v>
      </c>
      <c r="BM15" t="s">
        <v>19</v>
      </c>
      <c r="BN15" t="s">
        <v>684</v>
      </c>
      <c r="BO15" t="s">
        <v>19</v>
      </c>
      <c r="BP15" t="s">
        <v>19</v>
      </c>
      <c r="BQ15" t="s">
        <v>685</v>
      </c>
      <c r="BR15" t="s">
        <v>19</v>
      </c>
      <c r="BS15" t="s">
        <v>694</v>
      </c>
      <c r="BT15" t="s">
        <v>19</v>
      </c>
      <c r="BU15" t="s">
        <v>686</v>
      </c>
      <c r="BV15" t="s">
        <v>687</v>
      </c>
      <c r="BW15" t="s">
        <v>688</v>
      </c>
      <c r="BX15" t="s">
        <v>82</v>
      </c>
      <c r="BY15" t="s">
        <v>689</v>
      </c>
      <c r="BZ15" t="s">
        <v>86</v>
      </c>
      <c r="CA15" t="s">
        <v>695</v>
      </c>
      <c r="CB15" t="s">
        <v>691</v>
      </c>
      <c r="CC15" t="s">
        <v>696</v>
      </c>
      <c r="CD15" t="s">
        <v>697</v>
      </c>
      <c r="CE15" t="s">
        <v>698</v>
      </c>
      <c r="CF15" t="s">
        <v>19</v>
      </c>
      <c r="CG15" t="s">
        <v>19</v>
      </c>
      <c r="CH15" t="s">
        <v>19</v>
      </c>
      <c r="CI15" t="s">
        <v>19</v>
      </c>
      <c r="CJ15" t="s">
        <v>424</v>
      </c>
      <c r="CK15" t="s">
        <v>316</v>
      </c>
      <c r="CL15" t="s">
        <v>19</v>
      </c>
      <c r="CM15" t="s">
        <v>19</v>
      </c>
      <c r="CN15" t="s">
        <v>19</v>
      </c>
      <c r="CO15" t="s">
        <v>19</v>
      </c>
      <c r="CP15" t="s">
        <v>19</v>
      </c>
      <c r="CQ15" t="s">
        <v>19</v>
      </c>
      <c r="CR15" t="s">
        <v>19</v>
      </c>
      <c r="CS15" t="s">
        <v>279</v>
      </c>
      <c r="CT15" t="s">
        <v>280</v>
      </c>
      <c r="CU15" t="s">
        <v>558</v>
      </c>
      <c r="CV15" t="s">
        <v>453</v>
      </c>
      <c r="CW15" t="s">
        <v>281</v>
      </c>
      <c r="CX15" t="s">
        <v>154</v>
      </c>
      <c r="CY15" t="s">
        <v>282</v>
      </c>
      <c r="CZ15" t="s">
        <v>283</v>
      </c>
      <c r="DA15" t="s">
        <v>699</v>
      </c>
      <c r="DB15" t="s">
        <v>700</v>
      </c>
      <c r="DC15" t="s">
        <v>19</v>
      </c>
      <c r="DD15" t="s">
        <v>439</v>
      </c>
      <c r="DE15" t="s">
        <v>701</v>
      </c>
      <c r="DF15" t="s">
        <v>287</v>
      </c>
      <c r="DG15" t="s">
        <v>288</v>
      </c>
      <c r="DH15" t="s">
        <v>498</v>
      </c>
      <c r="DI15" t="s">
        <v>702</v>
      </c>
      <c r="DJ15" t="s">
        <v>440</v>
      </c>
      <c r="DK15" t="s">
        <v>19</v>
      </c>
    </row>
    <row r="16" spans="1:115">
      <c r="A16" s="35" t="s">
        <v>7</v>
      </c>
      <c r="B16" t="s">
        <v>703</v>
      </c>
      <c r="C16" t="s">
        <v>704</v>
      </c>
      <c r="D16" t="s">
        <v>705</v>
      </c>
      <c r="E16" t="s">
        <v>457</v>
      </c>
      <c r="F16" t="s">
        <v>706</v>
      </c>
      <c r="G16" t="s">
        <v>19</v>
      </c>
      <c r="H16" t="s">
        <v>19</v>
      </c>
      <c r="I16" t="s">
        <v>459</v>
      </c>
      <c r="J16" t="s">
        <v>707</v>
      </c>
      <c r="K16" t="s">
        <v>19</v>
      </c>
      <c r="L16" t="s">
        <v>19</v>
      </c>
      <c r="M16" t="s">
        <v>360</v>
      </c>
      <c r="N16" t="s">
        <v>30</v>
      </c>
      <c r="O16" t="s">
        <v>708</v>
      </c>
      <c r="P16" t="s">
        <v>416</v>
      </c>
      <c r="Q16" t="s">
        <v>416</v>
      </c>
      <c r="R16" t="s">
        <v>346</v>
      </c>
      <c r="S16" t="s">
        <v>461</v>
      </c>
      <c r="T16" t="s">
        <v>709</v>
      </c>
      <c r="U16" t="s">
        <v>710</v>
      </c>
      <c r="V16" t="s">
        <v>19</v>
      </c>
      <c r="W16" t="s">
        <v>19</v>
      </c>
      <c r="X16" t="s">
        <v>19</v>
      </c>
      <c r="Y16" t="s">
        <v>19</v>
      </c>
      <c r="Z16" t="s">
        <v>19</v>
      </c>
      <c r="AA16" t="s">
        <v>19</v>
      </c>
      <c r="AB16" t="s">
        <v>19</v>
      </c>
      <c r="AC16" t="s">
        <v>19</v>
      </c>
      <c r="AD16" t="s">
        <v>19</v>
      </c>
      <c r="AE16" t="s">
        <v>19</v>
      </c>
      <c r="AF16" t="s">
        <v>711</v>
      </c>
      <c r="AG16" t="s">
        <v>360</v>
      </c>
      <c r="AH16" t="s">
        <v>19</v>
      </c>
      <c r="AI16" t="s">
        <v>19</v>
      </c>
      <c r="AJ16" t="s">
        <v>19</v>
      </c>
      <c r="AK16" t="s">
        <v>19</v>
      </c>
      <c r="AL16" t="s">
        <v>19</v>
      </c>
      <c r="AM16" t="s">
        <v>418</v>
      </c>
      <c r="AN16" t="s">
        <v>712</v>
      </c>
      <c r="AO16" t="s">
        <v>506</v>
      </c>
      <c r="AP16" t="s">
        <v>713</v>
      </c>
      <c r="AQ16" t="s">
        <v>714</v>
      </c>
      <c r="AR16" t="s">
        <v>86</v>
      </c>
      <c r="AS16" t="s">
        <v>715</v>
      </c>
      <c r="AT16" t="s">
        <v>716</v>
      </c>
      <c r="AU16" t="s">
        <v>19</v>
      </c>
      <c r="AV16" t="s">
        <v>19</v>
      </c>
      <c r="AW16" t="s">
        <v>717</v>
      </c>
      <c r="AX16" t="s">
        <v>19</v>
      </c>
      <c r="AY16" t="s">
        <v>19</v>
      </c>
      <c r="AZ16" t="s">
        <v>718</v>
      </c>
      <c r="BA16" t="s">
        <v>19</v>
      </c>
      <c r="BB16" t="s">
        <v>719</v>
      </c>
      <c r="BC16" t="s">
        <v>19</v>
      </c>
      <c r="BD16" t="s">
        <v>720</v>
      </c>
      <c r="BE16" t="s">
        <v>721</v>
      </c>
      <c r="BF16" t="s">
        <v>721</v>
      </c>
      <c r="BG16" t="s">
        <v>82</v>
      </c>
      <c r="BH16" t="s">
        <v>722</v>
      </c>
      <c r="BI16" t="s">
        <v>86</v>
      </c>
      <c r="BJ16" t="s">
        <v>723</v>
      </c>
      <c r="BK16" t="s">
        <v>724</v>
      </c>
      <c r="BL16" t="s">
        <v>725</v>
      </c>
      <c r="BM16" t="s">
        <v>19</v>
      </c>
      <c r="BN16" t="s">
        <v>717</v>
      </c>
      <c r="BO16" t="s">
        <v>19</v>
      </c>
      <c r="BP16" t="s">
        <v>19</v>
      </c>
      <c r="BQ16" t="s">
        <v>726</v>
      </c>
      <c r="BR16" t="s">
        <v>19</v>
      </c>
      <c r="BS16" t="s">
        <v>719</v>
      </c>
      <c r="BT16" t="s">
        <v>19</v>
      </c>
      <c r="BU16" t="s">
        <v>720</v>
      </c>
      <c r="BV16" t="s">
        <v>721</v>
      </c>
      <c r="BW16" t="s">
        <v>721</v>
      </c>
      <c r="BX16" t="s">
        <v>82</v>
      </c>
      <c r="BY16" t="s">
        <v>722</v>
      </c>
      <c r="BZ16" t="s">
        <v>86</v>
      </c>
      <c r="CA16" t="s">
        <v>727</v>
      </c>
      <c r="CB16" t="s">
        <v>728</v>
      </c>
      <c r="CC16" t="s">
        <v>729</v>
      </c>
      <c r="CD16" t="s">
        <v>19</v>
      </c>
      <c r="CE16" t="s">
        <v>730</v>
      </c>
      <c r="CF16" t="s">
        <v>19</v>
      </c>
      <c r="CG16" t="s">
        <v>19</v>
      </c>
      <c r="CH16" t="s">
        <v>19</v>
      </c>
      <c r="CI16" t="s">
        <v>19</v>
      </c>
      <c r="CJ16" t="s">
        <v>424</v>
      </c>
      <c r="CK16" t="s">
        <v>316</v>
      </c>
      <c r="CL16" t="s">
        <v>19</v>
      </c>
      <c r="CM16" t="s">
        <v>19</v>
      </c>
      <c r="CN16" t="s">
        <v>19</v>
      </c>
      <c r="CO16" t="s">
        <v>19</v>
      </c>
      <c r="CP16" t="s">
        <v>19</v>
      </c>
      <c r="CQ16" t="s">
        <v>19</v>
      </c>
      <c r="CR16" t="s">
        <v>19</v>
      </c>
      <c r="CS16" t="s">
        <v>279</v>
      </c>
      <c r="CT16" t="s">
        <v>280</v>
      </c>
      <c r="CU16" t="s">
        <v>731</v>
      </c>
      <c r="CV16" t="s">
        <v>453</v>
      </c>
      <c r="CW16" t="s">
        <v>281</v>
      </c>
      <c r="CX16" t="s">
        <v>154</v>
      </c>
      <c r="CY16" t="s">
        <v>282</v>
      </c>
      <c r="CZ16" t="s">
        <v>283</v>
      </c>
      <c r="DA16" t="s">
        <v>732</v>
      </c>
      <c r="DB16" t="s">
        <v>733</v>
      </c>
      <c r="DC16" t="s">
        <v>19</v>
      </c>
      <c r="DD16" t="s">
        <v>439</v>
      </c>
      <c r="DE16" t="s">
        <v>734</v>
      </c>
      <c r="DF16" t="s">
        <v>287</v>
      </c>
      <c r="DG16" t="s">
        <v>288</v>
      </c>
      <c r="DH16" t="s">
        <v>19</v>
      </c>
      <c r="DI16" t="s">
        <v>735</v>
      </c>
      <c r="DJ16" t="s">
        <v>736</v>
      </c>
      <c r="DK16" t="s">
        <v>19</v>
      </c>
    </row>
    <row r="17" spans="1:115">
      <c r="A17" s="35" t="s">
        <v>7</v>
      </c>
      <c r="B17" t="s">
        <v>737</v>
      </c>
      <c r="C17" t="s">
        <v>738</v>
      </c>
      <c r="D17" t="s">
        <v>739</v>
      </c>
      <c r="E17" t="s">
        <v>15</v>
      </c>
      <c r="F17" t="s">
        <v>740</v>
      </c>
      <c r="G17" t="s">
        <v>19</v>
      </c>
      <c r="H17" t="s">
        <v>19</v>
      </c>
      <c r="I17" t="s">
        <v>22</v>
      </c>
      <c r="J17" t="s">
        <v>741</v>
      </c>
      <c r="K17" t="s">
        <v>19</v>
      </c>
      <c r="L17" t="s">
        <v>19</v>
      </c>
      <c r="M17" t="s">
        <v>370</v>
      </c>
      <c r="N17" t="s">
        <v>30</v>
      </c>
      <c r="O17" t="s">
        <v>742</v>
      </c>
      <c r="P17" t="s">
        <v>416</v>
      </c>
      <c r="Q17" t="s">
        <v>416</v>
      </c>
      <c r="R17" t="s">
        <v>38</v>
      </c>
      <c r="S17" t="s">
        <v>40</v>
      </c>
      <c r="T17" t="s">
        <v>743</v>
      </c>
      <c r="U17" t="s">
        <v>744</v>
      </c>
      <c r="V17" t="s">
        <v>19</v>
      </c>
      <c r="W17" t="s">
        <v>19</v>
      </c>
      <c r="X17" t="s">
        <v>19</v>
      </c>
      <c r="Y17" t="s">
        <v>19</v>
      </c>
      <c r="Z17" t="s">
        <v>19</v>
      </c>
      <c r="AA17" t="s">
        <v>19</v>
      </c>
      <c r="AB17" t="s">
        <v>19</v>
      </c>
      <c r="AC17" t="s">
        <v>19</v>
      </c>
      <c r="AD17" t="s">
        <v>19</v>
      </c>
      <c r="AE17" t="s">
        <v>19</v>
      </c>
      <c r="AF17" t="s">
        <v>745</v>
      </c>
      <c r="AG17" t="s">
        <v>19</v>
      </c>
      <c r="AH17" t="s">
        <v>19</v>
      </c>
      <c r="AI17" t="s">
        <v>746</v>
      </c>
      <c r="AJ17" t="s">
        <v>19</v>
      </c>
      <c r="AK17" t="s">
        <v>747</v>
      </c>
      <c r="AL17" t="s">
        <v>19</v>
      </c>
      <c r="AM17" t="s">
        <v>748</v>
      </c>
      <c r="AN17" t="s">
        <v>450</v>
      </c>
      <c r="AO17" t="s">
        <v>451</v>
      </c>
      <c r="AP17" t="s">
        <v>82</v>
      </c>
      <c r="AQ17" t="s">
        <v>337</v>
      </c>
      <c r="AR17" t="s">
        <v>86</v>
      </c>
      <c r="AS17" t="s">
        <v>749</v>
      </c>
      <c r="AT17" t="s">
        <v>452</v>
      </c>
      <c r="AU17" t="s">
        <v>19</v>
      </c>
      <c r="AV17" t="s">
        <v>19</v>
      </c>
      <c r="AW17" t="s">
        <v>745</v>
      </c>
      <c r="AX17" t="s">
        <v>19</v>
      </c>
      <c r="AY17" t="s">
        <v>19</v>
      </c>
      <c r="AZ17" t="s">
        <v>746</v>
      </c>
      <c r="BA17" t="s">
        <v>19</v>
      </c>
      <c r="BB17" t="s">
        <v>747</v>
      </c>
      <c r="BC17" t="s">
        <v>19</v>
      </c>
      <c r="BD17" t="s">
        <v>748</v>
      </c>
      <c r="BE17" t="s">
        <v>450</v>
      </c>
      <c r="BF17" t="s">
        <v>451</v>
      </c>
      <c r="BG17" t="s">
        <v>82</v>
      </c>
      <c r="BH17" t="s">
        <v>337</v>
      </c>
      <c r="BI17" t="s">
        <v>86</v>
      </c>
      <c r="BJ17" t="s">
        <v>749</v>
      </c>
      <c r="BK17" t="s">
        <v>452</v>
      </c>
      <c r="BL17" t="s">
        <v>19</v>
      </c>
      <c r="BM17" t="s">
        <v>19</v>
      </c>
      <c r="BN17" t="s">
        <v>19</v>
      </c>
      <c r="BO17" t="s">
        <v>19</v>
      </c>
      <c r="BP17" t="s">
        <v>19</v>
      </c>
      <c r="BQ17" t="s">
        <v>19</v>
      </c>
      <c r="BR17" t="s">
        <v>19</v>
      </c>
      <c r="BS17" t="s">
        <v>19</v>
      </c>
      <c r="BT17" t="s">
        <v>19</v>
      </c>
      <c r="BU17" t="s">
        <v>19</v>
      </c>
      <c r="BV17" t="s">
        <v>19</v>
      </c>
      <c r="BW17" t="s">
        <v>19</v>
      </c>
      <c r="BX17" t="s">
        <v>19</v>
      </c>
      <c r="BY17" t="s">
        <v>19</v>
      </c>
      <c r="BZ17" t="s">
        <v>19</v>
      </c>
      <c r="CA17" t="s">
        <v>19</v>
      </c>
      <c r="CB17" t="s">
        <v>19</v>
      </c>
      <c r="CC17" t="s">
        <v>750</v>
      </c>
      <c r="CD17" t="s">
        <v>751</v>
      </c>
      <c r="CE17" t="s">
        <v>19</v>
      </c>
      <c r="CF17" t="s">
        <v>19</v>
      </c>
      <c r="CG17" t="s">
        <v>19</v>
      </c>
      <c r="CH17" t="s">
        <v>19</v>
      </c>
      <c r="CI17" t="s">
        <v>19</v>
      </c>
      <c r="CJ17" t="s">
        <v>424</v>
      </c>
      <c r="CK17" t="s">
        <v>316</v>
      </c>
      <c r="CL17" t="s">
        <v>19</v>
      </c>
      <c r="CM17" t="s">
        <v>19</v>
      </c>
      <c r="CN17" t="s">
        <v>19</v>
      </c>
      <c r="CO17" t="s">
        <v>19</v>
      </c>
      <c r="CP17" t="s">
        <v>19</v>
      </c>
      <c r="CQ17" t="s">
        <v>19</v>
      </c>
      <c r="CR17" t="s">
        <v>19</v>
      </c>
      <c r="CS17" t="s">
        <v>279</v>
      </c>
      <c r="CT17" t="s">
        <v>280</v>
      </c>
      <c r="CU17" t="s">
        <v>752</v>
      </c>
      <c r="CV17" t="s">
        <v>453</v>
      </c>
      <c r="CW17" t="s">
        <v>281</v>
      </c>
      <c r="CX17" t="s">
        <v>154</v>
      </c>
      <c r="CY17" t="s">
        <v>282</v>
      </c>
      <c r="CZ17" t="s">
        <v>283</v>
      </c>
      <c r="DA17" t="s">
        <v>753</v>
      </c>
      <c r="DB17" t="s">
        <v>299</v>
      </c>
      <c r="DC17" t="s">
        <v>19</v>
      </c>
      <c r="DD17" t="s">
        <v>439</v>
      </c>
      <c r="DE17" t="s">
        <v>754</v>
      </c>
      <c r="DF17" t="s">
        <v>287</v>
      </c>
      <c r="DG17" t="s">
        <v>288</v>
      </c>
      <c r="DH17" t="s">
        <v>19</v>
      </c>
      <c r="DI17" t="s">
        <v>755</v>
      </c>
      <c r="DJ17" t="s">
        <v>756</v>
      </c>
      <c r="DK17" t="s">
        <v>19</v>
      </c>
    </row>
    <row r="18" spans="1:115">
      <c r="A18" s="35" t="s">
        <v>7</v>
      </c>
      <c r="B18" t="s">
        <v>757</v>
      </c>
      <c r="C18" t="s">
        <v>758</v>
      </c>
      <c r="D18" t="s">
        <v>759</v>
      </c>
      <c r="E18" t="s">
        <v>15</v>
      </c>
      <c r="F18" t="s">
        <v>760</v>
      </c>
      <c r="G18" t="s">
        <v>19</v>
      </c>
      <c r="H18" t="s">
        <v>19</v>
      </c>
      <c r="I18" t="s">
        <v>22</v>
      </c>
      <c r="J18" t="s">
        <v>761</v>
      </c>
      <c r="K18" t="s">
        <v>19</v>
      </c>
      <c r="L18" t="s">
        <v>19</v>
      </c>
      <c r="M18" t="s">
        <v>28</v>
      </c>
      <c r="N18" t="s">
        <v>30</v>
      </c>
      <c r="O18" t="s">
        <v>762</v>
      </c>
      <c r="P18" t="s">
        <v>416</v>
      </c>
      <c r="Q18" t="s">
        <v>416</v>
      </c>
      <c r="R18" t="s">
        <v>38</v>
      </c>
      <c r="S18" t="s">
        <v>40</v>
      </c>
      <c r="T18" t="s">
        <v>19</v>
      </c>
      <c r="U18" t="s">
        <v>19</v>
      </c>
      <c r="V18" t="s">
        <v>19</v>
      </c>
      <c r="W18" t="s">
        <v>19</v>
      </c>
      <c r="X18" t="s">
        <v>19</v>
      </c>
      <c r="Y18" t="s">
        <v>19</v>
      </c>
      <c r="Z18" t="s">
        <v>19</v>
      </c>
      <c r="AA18" t="s">
        <v>19</v>
      </c>
      <c r="AB18" t="s">
        <v>19</v>
      </c>
      <c r="AC18" t="s">
        <v>19</v>
      </c>
      <c r="AD18" t="s">
        <v>19</v>
      </c>
      <c r="AE18" t="s">
        <v>19</v>
      </c>
      <c r="AF18" t="s">
        <v>374</v>
      </c>
      <c r="AG18" t="s">
        <v>19</v>
      </c>
      <c r="AH18" t="s">
        <v>19</v>
      </c>
      <c r="AI18" t="s">
        <v>19</v>
      </c>
      <c r="AJ18" t="s">
        <v>19</v>
      </c>
      <c r="AK18" t="s">
        <v>19</v>
      </c>
      <c r="AL18" t="s">
        <v>19</v>
      </c>
      <c r="AM18" t="s">
        <v>492</v>
      </c>
      <c r="AN18" t="s">
        <v>493</v>
      </c>
      <c r="AO18" t="s">
        <v>494</v>
      </c>
      <c r="AP18" t="s">
        <v>82</v>
      </c>
      <c r="AQ18" t="s">
        <v>349</v>
      </c>
      <c r="AR18" t="s">
        <v>86</v>
      </c>
      <c r="AS18" t="s">
        <v>375</v>
      </c>
      <c r="AT18" t="s">
        <v>495</v>
      </c>
      <c r="AU18" t="s">
        <v>19</v>
      </c>
      <c r="AV18" t="s">
        <v>19</v>
      </c>
      <c r="AW18" t="s">
        <v>374</v>
      </c>
      <c r="AX18" t="s">
        <v>19</v>
      </c>
      <c r="AY18" t="s">
        <v>19</v>
      </c>
      <c r="AZ18" t="s">
        <v>19</v>
      </c>
      <c r="BA18" t="s">
        <v>19</v>
      </c>
      <c r="BB18" t="s">
        <v>19</v>
      </c>
      <c r="BC18" t="s">
        <v>19</v>
      </c>
      <c r="BD18" t="s">
        <v>492</v>
      </c>
      <c r="BE18" t="s">
        <v>493</v>
      </c>
      <c r="BF18" t="s">
        <v>494</v>
      </c>
      <c r="BG18" t="s">
        <v>82</v>
      </c>
      <c r="BH18" t="s">
        <v>349</v>
      </c>
      <c r="BI18" t="s">
        <v>86</v>
      </c>
      <c r="BJ18" t="s">
        <v>375</v>
      </c>
      <c r="BK18" t="s">
        <v>495</v>
      </c>
      <c r="BL18" t="s">
        <v>19</v>
      </c>
      <c r="BM18" t="s">
        <v>19</v>
      </c>
      <c r="BN18" t="s">
        <v>19</v>
      </c>
      <c r="BO18" t="s">
        <v>19</v>
      </c>
      <c r="BP18" t="s">
        <v>19</v>
      </c>
      <c r="BQ18" t="s">
        <v>19</v>
      </c>
      <c r="BR18" t="s">
        <v>19</v>
      </c>
      <c r="BS18" t="s">
        <v>19</v>
      </c>
      <c r="BT18" t="s">
        <v>19</v>
      </c>
      <c r="BU18" t="s">
        <v>19</v>
      </c>
      <c r="BV18" t="s">
        <v>19</v>
      </c>
      <c r="BW18" t="s">
        <v>19</v>
      </c>
      <c r="BX18" t="s">
        <v>19</v>
      </c>
      <c r="BY18" t="s">
        <v>19</v>
      </c>
      <c r="BZ18" t="s">
        <v>19</v>
      </c>
      <c r="CA18" t="s">
        <v>19</v>
      </c>
      <c r="CB18" t="s">
        <v>19</v>
      </c>
      <c r="CC18" t="s">
        <v>376</v>
      </c>
      <c r="CD18" t="s">
        <v>19</v>
      </c>
      <c r="CE18" t="s">
        <v>19</v>
      </c>
      <c r="CF18" t="s">
        <v>19</v>
      </c>
      <c r="CG18" t="s">
        <v>19</v>
      </c>
      <c r="CH18" t="s">
        <v>19</v>
      </c>
      <c r="CI18" t="s">
        <v>19</v>
      </c>
      <c r="CJ18" t="s">
        <v>424</v>
      </c>
      <c r="CK18" t="s">
        <v>316</v>
      </c>
      <c r="CL18" t="s">
        <v>19</v>
      </c>
      <c r="CM18" t="s">
        <v>19</v>
      </c>
      <c r="CN18" t="s">
        <v>19</v>
      </c>
      <c r="CO18" t="s">
        <v>19</v>
      </c>
      <c r="CP18" t="s">
        <v>19</v>
      </c>
      <c r="CQ18" t="s">
        <v>19</v>
      </c>
      <c r="CR18" t="s">
        <v>19</v>
      </c>
      <c r="CS18" t="s">
        <v>279</v>
      </c>
      <c r="CT18" t="s">
        <v>280</v>
      </c>
      <c r="CU18" t="s">
        <v>637</v>
      </c>
      <c r="CV18" t="s">
        <v>453</v>
      </c>
      <c r="CW18" t="s">
        <v>281</v>
      </c>
      <c r="CX18" t="s">
        <v>154</v>
      </c>
      <c r="CY18" t="s">
        <v>282</v>
      </c>
      <c r="CZ18" t="s">
        <v>283</v>
      </c>
      <c r="DA18" t="s">
        <v>496</v>
      </c>
      <c r="DB18" t="s">
        <v>299</v>
      </c>
      <c r="DC18" t="s">
        <v>19</v>
      </c>
      <c r="DD18" t="s">
        <v>285</v>
      </c>
      <c r="DE18" t="s">
        <v>763</v>
      </c>
      <c r="DF18" t="s">
        <v>287</v>
      </c>
      <c r="DG18" t="s">
        <v>484</v>
      </c>
      <c r="DH18" t="s">
        <v>19</v>
      </c>
      <c r="DI18" t="s">
        <v>764</v>
      </c>
      <c r="DJ18" t="s">
        <v>19</v>
      </c>
      <c r="DK18" t="s">
        <v>19</v>
      </c>
    </row>
    <row r="19" spans="1:115">
      <c r="A19" s="35" t="s">
        <v>7</v>
      </c>
      <c r="B19" t="s">
        <v>765</v>
      </c>
      <c r="C19" t="s">
        <v>766</v>
      </c>
      <c r="D19" t="s">
        <v>767</v>
      </c>
      <c r="E19" t="s">
        <v>15</v>
      </c>
      <c r="F19" t="s">
        <v>768</v>
      </c>
      <c r="G19" t="s">
        <v>19</v>
      </c>
      <c r="H19" t="s">
        <v>19</v>
      </c>
      <c r="I19" t="s">
        <v>22</v>
      </c>
      <c r="J19" t="s">
        <v>769</v>
      </c>
      <c r="K19" t="s">
        <v>19</v>
      </c>
      <c r="L19" t="s">
        <v>19</v>
      </c>
      <c r="M19" t="s">
        <v>28</v>
      </c>
      <c r="N19" t="s">
        <v>30</v>
      </c>
      <c r="O19" t="s">
        <v>770</v>
      </c>
      <c r="P19" t="s">
        <v>416</v>
      </c>
      <c r="Q19" t="s">
        <v>416</v>
      </c>
      <c r="R19" t="s">
        <v>38</v>
      </c>
      <c r="S19" t="s">
        <v>40</v>
      </c>
      <c r="T19" t="s">
        <v>771</v>
      </c>
      <c r="U19" t="s">
        <v>772</v>
      </c>
      <c r="V19" t="s">
        <v>19</v>
      </c>
      <c r="W19" t="s">
        <v>19</v>
      </c>
      <c r="X19" t="s">
        <v>19</v>
      </c>
      <c r="Y19" t="s">
        <v>19</v>
      </c>
      <c r="Z19" t="s">
        <v>19</v>
      </c>
      <c r="AA19" t="s">
        <v>19</v>
      </c>
      <c r="AB19" t="s">
        <v>19</v>
      </c>
      <c r="AC19" t="s">
        <v>19</v>
      </c>
      <c r="AD19" t="s">
        <v>773</v>
      </c>
      <c r="AE19" t="s">
        <v>19</v>
      </c>
      <c r="AF19" t="s">
        <v>774</v>
      </c>
      <c r="AG19" t="s">
        <v>19</v>
      </c>
      <c r="AH19" t="s">
        <v>19</v>
      </c>
      <c r="AI19" t="s">
        <v>775</v>
      </c>
      <c r="AJ19" t="s">
        <v>19</v>
      </c>
      <c r="AK19" t="s">
        <v>776</v>
      </c>
      <c r="AL19" t="s">
        <v>19</v>
      </c>
      <c r="AM19" t="s">
        <v>574</v>
      </c>
      <c r="AN19" t="s">
        <v>550</v>
      </c>
      <c r="AO19" t="s">
        <v>551</v>
      </c>
      <c r="AP19" t="s">
        <v>82</v>
      </c>
      <c r="AQ19" t="s">
        <v>322</v>
      </c>
      <c r="AR19" t="s">
        <v>86</v>
      </c>
      <c r="AS19" t="s">
        <v>777</v>
      </c>
      <c r="AT19" t="s">
        <v>576</v>
      </c>
      <c r="AU19" t="s">
        <v>773</v>
      </c>
      <c r="AV19" t="s">
        <v>19</v>
      </c>
      <c r="AW19" t="s">
        <v>774</v>
      </c>
      <c r="AX19" t="s">
        <v>19</v>
      </c>
      <c r="AY19" t="s">
        <v>19</v>
      </c>
      <c r="AZ19" t="s">
        <v>775</v>
      </c>
      <c r="BA19" t="s">
        <v>19</v>
      </c>
      <c r="BB19" t="s">
        <v>776</v>
      </c>
      <c r="BC19" t="s">
        <v>19</v>
      </c>
      <c r="BD19" t="s">
        <v>574</v>
      </c>
      <c r="BE19" t="s">
        <v>550</v>
      </c>
      <c r="BF19" t="s">
        <v>551</v>
      </c>
      <c r="BG19" t="s">
        <v>82</v>
      </c>
      <c r="BH19" t="s">
        <v>322</v>
      </c>
      <c r="BI19" t="s">
        <v>86</v>
      </c>
      <c r="BJ19" t="s">
        <v>777</v>
      </c>
      <c r="BK19" t="s">
        <v>576</v>
      </c>
      <c r="BL19" t="s">
        <v>773</v>
      </c>
      <c r="BM19" t="s">
        <v>19</v>
      </c>
      <c r="BN19" t="s">
        <v>774</v>
      </c>
      <c r="BO19" t="s">
        <v>19</v>
      </c>
      <c r="BP19" t="s">
        <v>19</v>
      </c>
      <c r="BQ19" t="s">
        <v>775</v>
      </c>
      <c r="BR19" t="s">
        <v>19</v>
      </c>
      <c r="BS19" t="s">
        <v>776</v>
      </c>
      <c r="BT19" t="s">
        <v>19</v>
      </c>
      <c r="BU19" t="s">
        <v>574</v>
      </c>
      <c r="BV19" t="s">
        <v>550</v>
      </c>
      <c r="BW19" t="s">
        <v>551</v>
      </c>
      <c r="BX19" t="s">
        <v>82</v>
      </c>
      <c r="BY19" t="s">
        <v>322</v>
      </c>
      <c r="BZ19" t="s">
        <v>86</v>
      </c>
      <c r="CA19" t="s">
        <v>777</v>
      </c>
      <c r="CB19" t="s">
        <v>576</v>
      </c>
      <c r="CC19" t="s">
        <v>778</v>
      </c>
      <c r="CD19" t="s">
        <v>19</v>
      </c>
      <c r="CE19" t="s">
        <v>19</v>
      </c>
      <c r="CF19" t="s">
        <v>779</v>
      </c>
      <c r="CG19" t="s">
        <v>19</v>
      </c>
      <c r="CH19" t="s">
        <v>19</v>
      </c>
      <c r="CI19" t="s">
        <v>19</v>
      </c>
      <c r="CJ19" t="s">
        <v>424</v>
      </c>
      <c r="CK19" t="s">
        <v>316</v>
      </c>
      <c r="CL19" t="s">
        <v>19</v>
      </c>
      <c r="CM19" t="s">
        <v>19</v>
      </c>
      <c r="CN19" t="s">
        <v>19</v>
      </c>
      <c r="CO19" t="s">
        <v>19</v>
      </c>
      <c r="CP19" t="s">
        <v>19</v>
      </c>
      <c r="CQ19" t="s">
        <v>19</v>
      </c>
      <c r="CR19" t="s">
        <v>19</v>
      </c>
      <c r="CS19" t="s">
        <v>279</v>
      </c>
      <c r="CT19" t="s">
        <v>280</v>
      </c>
      <c r="CU19" t="s">
        <v>780</v>
      </c>
      <c r="CV19" t="s">
        <v>453</v>
      </c>
      <c r="CW19" t="s">
        <v>281</v>
      </c>
      <c r="CX19" t="s">
        <v>154</v>
      </c>
      <c r="CY19" t="s">
        <v>282</v>
      </c>
      <c r="CZ19" t="s">
        <v>283</v>
      </c>
      <c r="DA19" t="s">
        <v>781</v>
      </c>
      <c r="DB19" t="s">
        <v>299</v>
      </c>
      <c r="DC19" t="s">
        <v>19</v>
      </c>
      <c r="DD19" t="s">
        <v>511</v>
      </c>
      <c r="DE19" t="s">
        <v>782</v>
      </c>
      <c r="DF19" t="s">
        <v>287</v>
      </c>
      <c r="DG19" t="s">
        <v>288</v>
      </c>
      <c r="DH19" t="s">
        <v>19</v>
      </c>
      <c r="DI19" t="s">
        <v>783</v>
      </c>
      <c r="DJ19" t="s">
        <v>156</v>
      </c>
      <c r="DK19" t="s">
        <v>19</v>
      </c>
    </row>
    <row r="20" spans="1:115">
      <c r="A20" s="35" t="s">
        <v>7</v>
      </c>
      <c r="B20" t="s">
        <v>784</v>
      </c>
      <c r="C20" t="s">
        <v>785</v>
      </c>
      <c r="D20" t="s">
        <v>786</v>
      </c>
      <c r="E20" t="s">
        <v>15</v>
      </c>
      <c r="F20" t="s">
        <v>787</v>
      </c>
      <c r="G20" t="s">
        <v>19</v>
      </c>
      <c r="H20" t="s">
        <v>19</v>
      </c>
      <c r="I20" t="s">
        <v>22</v>
      </c>
      <c r="J20" t="s">
        <v>788</v>
      </c>
      <c r="K20" t="s">
        <v>19</v>
      </c>
      <c r="L20" t="s">
        <v>19</v>
      </c>
      <c r="M20" t="s">
        <v>360</v>
      </c>
      <c r="N20" t="s">
        <v>30</v>
      </c>
      <c r="O20" t="s">
        <v>789</v>
      </c>
      <c r="P20" t="s">
        <v>416</v>
      </c>
      <c r="Q20" t="s">
        <v>416</v>
      </c>
      <c r="R20" t="s">
        <v>38</v>
      </c>
      <c r="S20" t="s">
        <v>40</v>
      </c>
      <c r="T20" t="s">
        <v>790</v>
      </c>
      <c r="U20" t="s">
        <v>791</v>
      </c>
      <c r="V20" t="s">
        <v>19</v>
      </c>
      <c r="W20" t="s">
        <v>19</v>
      </c>
      <c r="X20" t="s">
        <v>19</v>
      </c>
      <c r="Y20" t="s">
        <v>19</v>
      </c>
      <c r="Z20" t="s">
        <v>19</v>
      </c>
      <c r="AA20" t="s">
        <v>19</v>
      </c>
      <c r="AB20" t="s">
        <v>19</v>
      </c>
      <c r="AC20" t="s">
        <v>19</v>
      </c>
      <c r="AD20" t="s">
        <v>19</v>
      </c>
      <c r="AE20" t="s">
        <v>19</v>
      </c>
      <c r="AF20" t="s">
        <v>638</v>
      </c>
      <c r="AG20" t="s">
        <v>301</v>
      </c>
      <c r="AH20" t="s">
        <v>19</v>
      </c>
      <c r="AI20" t="s">
        <v>19</v>
      </c>
      <c r="AJ20" t="s">
        <v>19</v>
      </c>
      <c r="AK20" t="s">
        <v>19</v>
      </c>
      <c r="AL20" t="s">
        <v>19</v>
      </c>
      <c r="AM20" t="s">
        <v>19</v>
      </c>
      <c r="AN20" t="s">
        <v>792</v>
      </c>
      <c r="AO20" t="s">
        <v>793</v>
      </c>
      <c r="AP20" t="s">
        <v>507</v>
      </c>
      <c r="AQ20" t="s">
        <v>794</v>
      </c>
      <c r="AR20" t="s">
        <v>86</v>
      </c>
      <c r="AS20" t="s">
        <v>795</v>
      </c>
      <c r="AT20" t="s">
        <v>796</v>
      </c>
      <c r="AU20" t="s">
        <v>19</v>
      </c>
      <c r="AV20" t="s">
        <v>19</v>
      </c>
      <c r="AW20" t="s">
        <v>638</v>
      </c>
      <c r="AX20" t="s">
        <v>301</v>
      </c>
      <c r="AY20" t="s">
        <v>19</v>
      </c>
      <c r="AZ20" t="s">
        <v>19</v>
      </c>
      <c r="BA20" t="s">
        <v>19</v>
      </c>
      <c r="BB20" t="s">
        <v>19</v>
      </c>
      <c r="BC20" t="s">
        <v>19</v>
      </c>
      <c r="BD20" t="s">
        <v>19</v>
      </c>
      <c r="BE20" t="s">
        <v>792</v>
      </c>
      <c r="BF20" t="s">
        <v>793</v>
      </c>
      <c r="BG20" t="s">
        <v>507</v>
      </c>
      <c r="BH20" t="s">
        <v>794</v>
      </c>
      <c r="BI20" t="s">
        <v>86</v>
      </c>
      <c r="BJ20" t="s">
        <v>795</v>
      </c>
      <c r="BK20" t="s">
        <v>796</v>
      </c>
      <c r="BL20" t="s">
        <v>19</v>
      </c>
      <c r="BM20" t="s">
        <v>19</v>
      </c>
      <c r="BN20" t="s">
        <v>797</v>
      </c>
      <c r="BO20" t="s">
        <v>19</v>
      </c>
      <c r="BP20" t="s">
        <v>19</v>
      </c>
      <c r="BQ20" t="s">
        <v>19</v>
      </c>
      <c r="BR20" t="s">
        <v>19</v>
      </c>
      <c r="BS20" t="s">
        <v>19</v>
      </c>
      <c r="BT20" t="s">
        <v>798</v>
      </c>
      <c r="BU20" t="s">
        <v>799</v>
      </c>
      <c r="BV20" t="s">
        <v>800</v>
      </c>
      <c r="BW20" t="s">
        <v>432</v>
      </c>
      <c r="BX20" t="s">
        <v>82</v>
      </c>
      <c r="BY20" t="s">
        <v>322</v>
      </c>
      <c r="BZ20" t="s">
        <v>86</v>
      </c>
      <c r="CA20" t="s">
        <v>801</v>
      </c>
      <c r="CB20" t="s">
        <v>435</v>
      </c>
      <c r="CC20" t="s">
        <v>802</v>
      </c>
      <c r="CD20" t="s">
        <v>19</v>
      </c>
      <c r="CE20" t="s">
        <v>803</v>
      </c>
      <c r="CF20" t="s">
        <v>19</v>
      </c>
      <c r="CG20" t="s">
        <v>804</v>
      </c>
      <c r="CH20" t="s">
        <v>19</v>
      </c>
      <c r="CI20" t="s">
        <v>19</v>
      </c>
      <c r="CJ20" t="s">
        <v>424</v>
      </c>
      <c r="CK20" t="s">
        <v>316</v>
      </c>
      <c r="CL20" t="s">
        <v>19</v>
      </c>
      <c r="CM20" t="s">
        <v>19</v>
      </c>
      <c r="CN20" t="s">
        <v>19</v>
      </c>
      <c r="CO20" t="s">
        <v>19</v>
      </c>
      <c r="CP20" t="s">
        <v>19</v>
      </c>
      <c r="CQ20" t="s">
        <v>19</v>
      </c>
      <c r="CR20" t="s">
        <v>19</v>
      </c>
      <c r="CS20" t="s">
        <v>279</v>
      </c>
      <c r="CT20" t="s">
        <v>280</v>
      </c>
      <c r="CU20" t="s">
        <v>328</v>
      </c>
      <c r="CV20" t="s">
        <v>453</v>
      </c>
      <c r="CW20" t="s">
        <v>281</v>
      </c>
      <c r="CX20" t="s">
        <v>154</v>
      </c>
      <c r="CY20" t="s">
        <v>282</v>
      </c>
      <c r="CZ20" t="s">
        <v>283</v>
      </c>
      <c r="DA20" t="s">
        <v>805</v>
      </c>
      <c r="DB20" t="s">
        <v>806</v>
      </c>
      <c r="DC20" t="s">
        <v>19</v>
      </c>
      <c r="DD20" t="s">
        <v>511</v>
      </c>
      <c r="DE20" t="s">
        <v>807</v>
      </c>
      <c r="DF20" t="s">
        <v>287</v>
      </c>
      <c r="DG20" t="s">
        <v>288</v>
      </c>
      <c r="DH20" t="s">
        <v>19</v>
      </c>
      <c r="DI20" t="s">
        <v>808</v>
      </c>
      <c r="DJ20" t="s">
        <v>440</v>
      </c>
      <c r="DK20" t="s">
        <v>19</v>
      </c>
    </row>
    <row r="21" spans="1:115">
      <c r="A21" s="35" t="s">
        <v>7</v>
      </c>
      <c r="B21" t="s">
        <v>809</v>
      </c>
      <c r="C21" t="s">
        <v>512</v>
      </c>
      <c r="D21" t="s">
        <v>513</v>
      </c>
      <c r="E21" t="s">
        <v>15</v>
      </c>
      <c r="F21" t="s">
        <v>514</v>
      </c>
      <c r="G21" t="s">
        <v>19</v>
      </c>
      <c r="H21" t="s">
        <v>19</v>
      </c>
      <c r="I21" t="s">
        <v>22</v>
      </c>
      <c r="J21" t="s">
        <v>515</v>
      </c>
      <c r="K21" t="s">
        <v>19</v>
      </c>
      <c r="L21" t="s">
        <v>19</v>
      </c>
      <c r="M21" t="s">
        <v>28</v>
      </c>
      <c r="N21" t="s">
        <v>30</v>
      </c>
      <c r="O21" t="s">
        <v>391</v>
      </c>
      <c r="P21" t="s">
        <v>416</v>
      </c>
      <c r="Q21" t="s">
        <v>416</v>
      </c>
      <c r="R21" t="s">
        <v>38</v>
      </c>
      <c r="S21" t="s">
        <v>40</v>
      </c>
      <c r="T21" t="s">
        <v>392</v>
      </c>
      <c r="U21" t="s">
        <v>516</v>
      </c>
      <c r="V21" t="s">
        <v>19</v>
      </c>
      <c r="W21" t="s">
        <v>19</v>
      </c>
      <c r="X21" t="s">
        <v>19</v>
      </c>
      <c r="Y21" t="s">
        <v>19</v>
      </c>
      <c r="Z21" t="s">
        <v>19</v>
      </c>
      <c r="AA21" t="s">
        <v>19</v>
      </c>
      <c r="AB21" t="s">
        <v>19</v>
      </c>
      <c r="AC21" t="s">
        <v>19</v>
      </c>
      <c r="AD21" t="s">
        <v>19</v>
      </c>
      <c r="AE21" t="s">
        <v>19</v>
      </c>
      <c r="AF21" t="s">
        <v>393</v>
      </c>
      <c r="AG21" t="s">
        <v>19</v>
      </c>
      <c r="AH21" t="s">
        <v>19</v>
      </c>
      <c r="AI21" t="s">
        <v>19</v>
      </c>
      <c r="AJ21" t="s">
        <v>19</v>
      </c>
      <c r="AK21" t="s">
        <v>19</v>
      </c>
      <c r="AL21" t="s">
        <v>517</v>
      </c>
      <c r="AM21" t="s">
        <v>518</v>
      </c>
      <c r="AN21" t="s">
        <v>519</v>
      </c>
      <c r="AO21" t="s">
        <v>520</v>
      </c>
      <c r="AP21" t="s">
        <v>82</v>
      </c>
      <c r="AQ21" t="s">
        <v>394</v>
      </c>
      <c r="AR21" t="s">
        <v>86</v>
      </c>
      <c r="AS21" t="s">
        <v>395</v>
      </c>
      <c r="AT21" t="s">
        <v>521</v>
      </c>
      <c r="AU21" t="s">
        <v>19</v>
      </c>
      <c r="AV21" t="s">
        <v>19</v>
      </c>
      <c r="AW21" t="s">
        <v>393</v>
      </c>
      <c r="AX21" t="s">
        <v>19</v>
      </c>
      <c r="AY21" t="s">
        <v>19</v>
      </c>
      <c r="AZ21" t="s">
        <v>19</v>
      </c>
      <c r="BA21" t="s">
        <v>19</v>
      </c>
      <c r="BB21" t="s">
        <v>19</v>
      </c>
      <c r="BC21" t="s">
        <v>522</v>
      </c>
      <c r="BD21" t="s">
        <v>518</v>
      </c>
      <c r="BE21" t="s">
        <v>519</v>
      </c>
      <c r="BF21" t="s">
        <v>520</v>
      </c>
      <c r="BG21" t="s">
        <v>82</v>
      </c>
      <c r="BH21" t="s">
        <v>394</v>
      </c>
      <c r="BI21" t="s">
        <v>86</v>
      </c>
      <c r="BJ21" t="s">
        <v>396</v>
      </c>
      <c r="BK21" t="s">
        <v>521</v>
      </c>
      <c r="BL21" t="s">
        <v>523</v>
      </c>
      <c r="BM21" t="s">
        <v>19</v>
      </c>
      <c r="BN21" t="s">
        <v>393</v>
      </c>
      <c r="BO21" t="s">
        <v>19</v>
      </c>
      <c r="BP21" t="s">
        <v>19</v>
      </c>
      <c r="BQ21" t="s">
        <v>19</v>
      </c>
      <c r="BR21" t="s">
        <v>19</v>
      </c>
      <c r="BS21" t="s">
        <v>19</v>
      </c>
      <c r="BT21" t="s">
        <v>517</v>
      </c>
      <c r="BU21" t="s">
        <v>518</v>
      </c>
      <c r="BV21" t="s">
        <v>519</v>
      </c>
      <c r="BW21" t="s">
        <v>520</v>
      </c>
      <c r="BX21" t="s">
        <v>82</v>
      </c>
      <c r="BY21" t="s">
        <v>394</v>
      </c>
      <c r="BZ21" t="s">
        <v>86</v>
      </c>
      <c r="CA21" t="s">
        <v>395</v>
      </c>
      <c r="CB21" t="s">
        <v>521</v>
      </c>
      <c r="CC21" t="s">
        <v>397</v>
      </c>
      <c r="CD21" t="s">
        <v>19</v>
      </c>
      <c r="CE21" t="s">
        <v>398</v>
      </c>
      <c r="CF21" t="s">
        <v>399</v>
      </c>
      <c r="CG21" t="s">
        <v>524</v>
      </c>
      <c r="CH21" t="s">
        <v>19</v>
      </c>
      <c r="CI21" t="s">
        <v>19</v>
      </c>
      <c r="CJ21" t="s">
        <v>424</v>
      </c>
      <c r="CK21" t="s">
        <v>316</v>
      </c>
      <c r="CL21" t="s">
        <v>19</v>
      </c>
      <c r="CM21" t="s">
        <v>19</v>
      </c>
      <c r="CN21" t="s">
        <v>19</v>
      </c>
      <c r="CO21" t="s">
        <v>19</v>
      </c>
      <c r="CP21" t="s">
        <v>19</v>
      </c>
      <c r="CQ21" t="s">
        <v>19</v>
      </c>
      <c r="CR21" t="s">
        <v>19</v>
      </c>
      <c r="CS21" t="s">
        <v>279</v>
      </c>
      <c r="CT21" t="s">
        <v>400</v>
      </c>
      <c r="CU21" t="s">
        <v>401</v>
      </c>
      <c r="CV21" t="s">
        <v>453</v>
      </c>
      <c r="CW21" t="s">
        <v>281</v>
      </c>
      <c r="CX21" t="s">
        <v>154</v>
      </c>
      <c r="CY21" t="s">
        <v>282</v>
      </c>
      <c r="CZ21" t="s">
        <v>283</v>
      </c>
      <c r="DA21" t="s">
        <v>810</v>
      </c>
      <c r="DB21" t="s">
        <v>299</v>
      </c>
      <c r="DC21" t="s">
        <v>19</v>
      </c>
      <c r="DD21" t="s">
        <v>526</v>
      </c>
      <c r="DE21" t="s">
        <v>402</v>
      </c>
      <c r="DF21" t="s">
        <v>287</v>
      </c>
      <c r="DG21" t="s">
        <v>288</v>
      </c>
      <c r="DH21" t="s">
        <v>19</v>
      </c>
      <c r="DI21" t="s">
        <v>811</v>
      </c>
      <c r="DJ21" t="s">
        <v>156</v>
      </c>
      <c r="DK21" t="s">
        <v>19</v>
      </c>
    </row>
    <row r="22" spans="1:115">
      <c r="A22" s="35" t="s">
        <v>7</v>
      </c>
      <c r="B22" t="s">
        <v>812</v>
      </c>
      <c r="C22" t="s">
        <v>512</v>
      </c>
      <c r="D22" t="s">
        <v>513</v>
      </c>
      <c r="E22" t="s">
        <v>15</v>
      </c>
      <c r="F22" t="s">
        <v>514</v>
      </c>
      <c r="G22" t="s">
        <v>19</v>
      </c>
      <c r="H22" t="s">
        <v>19</v>
      </c>
      <c r="I22" t="s">
        <v>22</v>
      </c>
      <c r="J22" t="s">
        <v>515</v>
      </c>
      <c r="K22" t="s">
        <v>19</v>
      </c>
      <c r="L22" t="s">
        <v>19</v>
      </c>
      <c r="M22" t="s">
        <v>28</v>
      </c>
      <c r="N22" t="s">
        <v>30</v>
      </c>
      <c r="O22" t="s">
        <v>391</v>
      </c>
      <c r="P22" t="s">
        <v>416</v>
      </c>
      <c r="Q22" t="s">
        <v>416</v>
      </c>
      <c r="R22" t="s">
        <v>38</v>
      </c>
      <c r="S22" t="s">
        <v>40</v>
      </c>
      <c r="T22" t="s">
        <v>392</v>
      </c>
      <c r="U22" t="s">
        <v>516</v>
      </c>
      <c r="V22" t="s">
        <v>19</v>
      </c>
      <c r="W22" t="s">
        <v>19</v>
      </c>
      <c r="X22" t="s">
        <v>19</v>
      </c>
      <c r="Y22" t="s">
        <v>19</v>
      </c>
      <c r="Z22" t="s">
        <v>19</v>
      </c>
      <c r="AA22" t="s">
        <v>19</v>
      </c>
      <c r="AB22" t="s">
        <v>19</v>
      </c>
      <c r="AC22" t="s">
        <v>19</v>
      </c>
      <c r="AD22" t="s">
        <v>19</v>
      </c>
      <c r="AE22" t="s">
        <v>19</v>
      </c>
      <c r="AF22" t="s">
        <v>393</v>
      </c>
      <c r="AG22" t="s">
        <v>19</v>
      </c>
      <c r="AH22" t="s">
        <v>19</v>
      </c>
      <c r="AI22" t="s">
        <v>19</v>
      </c>
      <c r="AJ22" t="s">
        <v>19</v>
      </c>
      <c r="AK22" t="s">
        <v>19</v>
      </c>
      <c r="AL22" t="s">
        <v>517</v>
      </c>
      <c r="AM22" t="s">
        <v>518</v>
      </c>
      <c r="AN22" t="s">
        <v>519</v>
      </c>
      <c r="AO22" t="s">
        <v>520</v>
      </c>
      <c r="AP22" t="s">
        <v>82</v>
      </c>
      <c r="AQ22" t="s">
        <v>394</v>
      </c>
      <c r="AR22" t="s">
        <v>86</v>
      </c>
      <c r="AS22" t="s">
        <v>395</v>
      </c>
      <c r="AT22" t="s">
        <v>521</v>
      </c>
      <c r="AU22" t="s">
        <v>19</v>
      </c>
      <c r="AV22" t="s">
        <v>19</v>
      </c>
      <c r="AW22" t="s">
        <v>393</v>
      </c>
      <c r="AX22" t="s">
        <v>19</v>
      </c>
      <c r="AY22" t="s">
        <v>19</v>
      </c>
      <c r="AZ22" t="s">
        <v>19</v>
      </c>
      <c r="BA22" t="s">
        <v>19</v>
      </c>
      <c r="BB22" t="s">
        <v>19</v>
      </c>
      <c r="BC22" t="s">
        <v>522</v>
      </c>
      <c r="BD22" t="s">
        <v>518</v>
      </c>
      <c r="BE22" t="s">
        <v>519</v>
      </c>
      <c r="BF22" t="s">
        <v>520</v>
      </c>
      <c r="BG22" t="s">
        <v>82</v>
      </c>
      <c r="BH22" t="s">
        <v>394</v>
      </c>
      <c r="BI22" t="s">
        <v>86</v>
      </c>
      <c r="BJ22" t="s">
        <v>396</v>
      </c>
      <c r="BK22" t="s">
        <v>521</v>
      </c>
      <c r="BL22" t="s">
        <v>523</v>
      </c>
      <c r="BM22" t="s">
        <v>19</v>
      </c>
      <c r="BN22" t="s">
        <v>393</v>
      </c>
      <c r="BO22" t="s">
        <v>19</v>
      </c>
      <c r="BP22" t="s">
        <v>19</v>
      </c>
      <c r="BQ22" t="s">
        <v>19</v>
      </c>
      <c r="BR22" t="s">
        <v>19</v>
      </c>
      <c r="BS22" t="s">
        <v>19</v>
      </c>
      <c r="BT22" t="s">
        <v>517</v>
      </c>
      <c r="BU22" t="s">
        <v>518</v>
      </c>
      <c r="BV22" t="s">
        <v>519</v>
      </c>
      <c r="BW22" t="s">
        <v>520</v>
      </c>
      <c r="BX22" t="s">
        <v>82</v>
      </c>
      <c r="BY22" t="s">
        <v>394</v>
      </c>
      <c r="BZ22" t="s">
        <v>86</v>
      </c>
      <c r="CA22" t="s">
        <v>395</v>
      </c>
      <c r="CB22" t="s">
        <v>521</v>
      </c>
      <c r="CC22" t="s">
        <v>397</v>
      </c>
      <c r="CD22" t="s">
        <v>19</v>
      </c>
      <c r="CE22" t="s">
        <v>398</v>
      </c>
      <c r="CF22" t="s">
        <v>399</v>
      </c>
      <c r="CG22" t="s">
        <v>524</v>
      </c>
      <c r="CH22" t="s">
        <v>19</v>
      </c>
      <c r="CI22" t="s">
        <v>19</v>
      </c>
      <c r="CJ22" t="s">
        <v>424</v>
      </c>
      <c r="CK22" t="s">
        <v>316</v>
      </c>
      <c r="CL22" t="s">
        <v>19</v>
      </c>
      <c r="CM22" t="s">
        <v>19</v>
      </c>
      <c r="CN22" t="s">
        <v>19</v>
      </c>
      <c r="CO22" t="s">
        <v>19</v>
      </c>
      <c r="CP22" t="s">
        <v>19</v>
      </c>
      <c r="CQ22" t="s">
        <v>19</v>
      </c>
      <c r="CR22" t="s">
        <v>19</v>
      </c>
      <c r="CS22" t="s">
        <v>279</v>
      </c>
      <c r="CT22" t="s">
        <v>400</v>
      </c>
      <c r="CU22" t="s">
        <v>401</v>
      </c>
      <c r="CV22" t="s">
        <v>453</v>
      </c>
      <c r="CW22" t="s">
        <v>281</v>
      </c>
      <c r="CX22" t="s">
        <v>154</v>
      </c>
      <c r="CY22" t="s">
        <v>282</v>
      </c>
      <c r="CZ22" t="s">
        <v>813</v>
      </c>
      <c r="DA22" t="s">
        <v>814</v>
      </c>
      <c r="DB22" t="s">
        <v>815</v>
      </c>
      <c r="DC22" t="s">
        <v>19</v>
      </c>
      <c r="DD22" t="s">
        <v>526</v>
      </c>
      <c r="DE22" t="s">
        <v>402</v>
      </c>
      <c r="DF22" t="s">
        <v>287</v>
      </c>
      <c r="DG22" t="s">
        <v>288</v>
      </c>
      <c r="DH22" t="s">
        <v>19</v>
      </c>
      <c r="DI22" t="s">
        <v>816</v>
      </c>
      <c r="DJ22" t="s">
        <v>440</v>
      </c>
      <c r="DK22" t="s">
        <v>19</v>
      </c>
    </row>
    <row r="23" spans="1:115">
      <c r="A23" s="35" t="s">
        <v>7</v>
      </c>
      <c r="B23" t="s">
        <v>817</v>
      </c>
      <c r="C23" t="s">
        <v>818</v>
      </c>
      <c r="D23" t="s">
        <v>819</v>
      </c>
      <c r="E23" t="s">
        <v>457</v>
      </c>
      <c r="F23" t="s">
        <v>820</v>
      </c>
      <c r="G23" t="s">
        <v>19</v>
      </c>
      <c r="H23" t="s">
        <v>19</v>
      </c>
      <c r="I23" t="s">
        <v>459</v>
      </c>
      <c r="J23" t="s">
        <v>821</v>
      </c>
      <c r="K23" t="s">
        <v>19</v>
      </c>
      <c r="L23" t="s">
        <v>19</v>
      </c>
      <c r="M23" t="s">
        <v>28</v>
      </c>
      <c r="N23" t="s">
        <v>30</v>
      </c>
      <c r="O23" t="s">
        <v>822</v>
      </c>
      <c r="P23" t="s">
        <v>416</v>
      </c>
      <c r="Q23" t="s">
        <v>416</v>
      </c>
      <c r="R23" t="s">
        <v>346</v>
      </c>
      <c r="S23" t="s">
        <v>461</v>
      </c>
      <c r="T23" t="s">
        <v>823</v>
      </c>
      <c r="U23" t="s">
        <v>824</v>
      </c>
      <c r="V23" t="s">
        <v>19</v>
      </c>
      <c r="W23" t="s">
        <v>19</v>
      </c>
      <c r="X23" t="s">
        <v>19</v>
      </c>
      <c r="Y23" t="s">
        <v>19</v>
      </c>
      <c r="Z23" t="s">
        <v>19</v>
      </c>
      <c r="AA23" t="s">
        <v>19</v>
      </c>
      <c r="AB23" t="s">
        <v>19</v>
      </c>
      <c r="AC23" t="s">
        <v>19</v>
      </c>
      <c r="AD23" t="s">
        <v>825</v>
      </c>
      <c r="AE23" t="s">
        <v>19</v>
      </c>
      <c r="AF23" t="s">
        <v>826</v>
      </c>
      <c r="AG23" t="s">
        <v>19</v>
      </c>
      <c r="AH23" t="s">
        <v>19</v>
      </c>
      <c r="AI23" t="s">
        <v>19</v>
      </c>
      <c r="AJ23" t="s">
        <v>19</v>
      </c>
      <c r="AK23" t="s">
        <v>19</v>
      </c>
      <c r="AL23" t="s">
        <v>19</v>
      </c>
      <c r="AM23" t="s">
        <v>827</v>
      </c>
      <c r="AN23" t="s">
        <v>828</v>
      </c>
      <c r="AO23" t="s">
        <v>829</v>
      </c>
      <c r="AP23" t="s">
        <v>82</v>
      </c>
      <c r="AQ23" t="s">
        <v>830</v>
      </c>
      <c r="AR23" t="s">
        <v>86</v>
      </c>
      <c r="AS23" t="s">
        <v>831</v>
      </c>
      <c r="AT23" t="s">
        <v>832</v>
      </c>
      <c r="AU23" t="s">
        <v>19</v>
      </c>
      <c r="AV23" t="s">
        <v>19</v>
      </c>
      <c r="AW23" t="s">
        <v>826</v>
      </c>
      <c r="AX23" t="s">
        <v>19</v>
      </c>
      <c r="AY23" t="s">
        <v>19</v>
      </c>
      <c r="AZ23" t="s">
        <v>19</v>
      </c>
      <c r="BA23" t="s">
        <v>19</v>
      </c>
      <c r="BB23" t="s">
        <v>19</v>
      </c>
      <c r="BC23" t="s">
        <v>19</v>
      </c>
      <c r="BD23" t="s">
        <v>827</v>
      </c>
      <c r="BE23" t="s">
        <v>828</v>
      </c>
      <c r="BF23" t="s">
        <v>829</v>
      </c>
      <c r="BG23" t="s">
        <v>82</v>
      </c>
      <c r="BH23" t="s">
        <v>830</v>
      </c>
      <c r="BI23" t="s">
        <v>86</v>
      </c>
      <c r="BJ23" t="s">
        <v>831</v>
      </c>
      <c r="BK23" t="s">
        <v>832</v>
      </c>
      <c r="BL23" t="s">
        <v>825</v>
      </c>
      <c r="BM23" t="s">
        <v>19</v>
      </c>
      <c r="BN23" t="s">
        <v>826</v>
      </c>
      <c r="BO23" t="s">
        <v>19</v>
      </c>
      <c r="BP23" t="s">
        <v>19</v>
      </c>
      <c r="BQ23" t="s">
        <v>19</v>
      </c>
      <c r="BR23" t="s">
        <v>19</v>
      </c>
      <c r="BS23" t="s">
        <v>19</v>
      </c>
      <c r="BT23" t="s">
        <v>19</v>
      </c>
      <c r="BU23" t="s">
        <v>827</v>
      </c>
      <c r="BV23" t="s">
        <v>828</v>
      </c>
      <c r="BW23" t="s">
        <v>829</v>
      </c>
      <c r="BX23" t="s">
        <v>82</v>
      </c>
      <c r="BY23" t="s">
        <v>830</v>
      </c>
      <c r="BZ23" t="s">
        <v>86</v>
      </c>
      <c r="CA23" t="s">
        <v>831</v>
      </c>
      <c r="CB23" t="s">
        <v>832</v>
      </c>
      <c r="CC23" t="s">
        <v>833</v>
      </c>
      <c r="CD23" t="s">
        <v>19</v>
      </c>
      <c r="CE23" t="s">
        <v>834</v>
      </c>
      <c r="CF23" t="s">
        <v>835</v>
      </c>
      <c r="CG23" t="s">
        <v>836</v>
      </c>
      <c r="CH23" t="s">
        <v>19</v>
      </c>
      <c r="CI23" t="s">
        <v>19</v>
      </c>
      <c r="CJ23" t="s">
        <v>424</v>
      </c>
      <c r="CK23" t="s">
        <v>316</v>
      </c>
      <c r="CL23" t="s">
        <v>19</v>
      </c>
      <c r="CM23" t="s">
        <v>19</v>
      </c>
      <c r="CN23" t="s">
        <v>19</v>
      </c>
      <c r="CO23" t="s">
        <v>19</v>
      </c>
      <c r="CP23" t="s">
        <v>19</v>
      </c>
      <c r="CQ23" t="s">
        <v>19</v>
      </c>
      <c r="CR23" t="s">
        <v>19</v>
      </c>
      <c r="CS23" t="s">
        <v>279</v>
      </c>
      <c r="CT23" t="s">
        <v>280</v>
      </c>
      <c r="CU23" t="s">
        <v>558</v>
      </c>
      <c r="CV23" t="s">
        <v>453</v>
      </c>
      <c r="CW23" t="s">
        <v>281</v>
      </c>
      <c r="CX23" t="s">
        <v>154</v>
      </c>
      <c r="CY23" t="s">
        <v>282</v>
      </c>
      <c r="CZ23" t="s">
        <v>813</v>
      </c>
      <c r="DA23" t="s">
        <v>496</v>
      </c>
      <c r="DB23" t="s">
        <v>299</v>
      </c>
      <c r="DC23" t="s">
        <v>19</v>
      </c>
      <c r="DD23" t="s">
        <v>511</v>
      </c>
      <c r="DE23" t="s">
        <v>837</v>
      </c>
      <c r="DF23" t="s">
        <v>287</v>
      </c>
      <c r="DG23" t="s">
        <v>288</v>
      </c>
      <c r="DH23" t="s">
        <v>19</v>
      </c>
      <c r="DI23" t="s">
        <v>838</v>
      </c>
      <c r="DJ23" t="s">
        <v>156</v>
      </c>
      <c r="DK23" t="s">
        <v>19</v>
      </c>
    </row>
    <row r="24" spans="1:115">
      <c r="A24" s="35" t="s">
        <v>7</v>
      </c>
      <c r="B24" t="s">
        <v>839</v>
      </c>
      <c r="C24" t="s">
        <v>840</v>
      </c>
      <c r="D24" t="s">
        <v>841</v>
      </c>
      <c r="E24" t="s">
        <v>15</v>
      </c>
      <c r="F24" t="s">
        <v>842</v>
      </c>
      <c r="G24" t="s">
        <v>19</v>
      </c>
      <c r="H24" t="s">
        <v>19</v>
      </c>
      <c r="I24" t="s">
        <v>22</v>
      </c>
      <c r="J24" t="s">
        <v>843</v>
      </c>
      <c r="K24" t="s">
        <v>19</v>
      </c>
      <c r="L24" t="s">
        <v>19</v>
      </c>
      <c r="M24" t="s">
        <v>370</v>
      </c>
      <c r="N24" t="s">
        <v>30</v>
      </c>
      <c r="O24" t="s">
        <v>844</v>
      </c>
      <c r="P24" t="s">
        <v>416</v>
      </c>
      <c r="Q24" t="s">
        <v>416</v>
      </c>
      <c r="R24" t="s">
        <v>38</v>
      </c>
      <c r="S24" t="s">
        <v>40</v>
      </c>
      <c r="T24" t="s">
        <v>845</v>
      </c>
      <c r="U24" t="s">
        <v>846</v>
      </c>
      <c r="V24" t="s">
        <v>19</v>
      </c>
      <c r="W24" t="s">
        <v>19</v>
      </c>
      <c r="X24" t="s">
        <v>847</v>
      </c>
      <c r="Y24" t="s">
        <v>848</v>
      </c>
      <c r="Z24" t="s">
        <v>849</v>
      </c>
      <c r="AA24" t="s">
        <v>19</v>
      </c>
      <c r="AB24" t="s">
        <v>19</v>
      </c>
      <c r="AC24" t="s">
        <v>19</v>
      </c>
      <c r="AD24" t="s">
        <v>19</v>
      </c>
      <c r="AE24" t="s">
        <v>19</v>
      </c>
      <c r="AF24" t="s">
        <v>850</v>
      </c>
      <c r="AG24" t="s">
        <v>19</v>
      </c>
      <c r="AH24" t="s">
        <v>19</v>
      </c>
      <c r="AI24" t="s">
        <v>851</v>
      </c>
      <c r="AJ24" t="s">
        <v>19</v>
      </c>
      <c r="AK24" t="s">
        <v>852</v>
      </c>
      <c r="AL24" t="s">
        <v>19</v>
      </c>
      <c r="AM24" t="s">
        <v>853</v>
      </c>
      <c r="AN24" t="s">
        <v>854</v>
      </c>
      <c r="AO24" t="s">
        <v>855</v>
      </c>
      <c r="AP24" t="s">
        <v>82</v>
      </c>
      <c r="AQ24" t="s">
        <v>313</v>
      </c>
      <c r="AR24" t="s">
        <v>86</v>
      </c>
      <c r="AS24" t="s">
        <v>856</v>
      </c>
      <c r="AT24" t="s">
        <v>857</v>
      </c>
      <c r="AU24" t="s">
        <v>19</v>
      </c>
      <c r="AV24" t="s">
        <v>19</v>
      </c>
      <c r="AW24" t="s">
        <v>850</v>
      </c>
      <c r="AX24" t="s">
        <v>19</v>
      </c>
      <c r="AY24" t="s">
        <v>19</v>
      </c>
      <c r="AZ24" t="s">
        <v>851</v>
      </c>
      <c r="BA24" t="s">
        <v>19</v>
      </c>
      <c r="BB24" t="s">
        <v>852</v>
      </c>
      <c r="BC24" t="s">
        <v>19</v>
      </c>
      <c r="BD24" t="s">
        <v>858</v>
      </c>
      <c r="BE24" t="s">
        <v>854</v>
      </c>
      <c r="BF24" t="s">
        <v>855</v>
      </c>
      <c r="BG24" t="s">
        <v>82</v>
      </c>
      <c r="BH24" t="s">
        <v>313</v>
      </c>
      <c r="BI24" t="s">
        <v>86</v>
      </c>
      <c r="BJ24" t="s">
        <v>859</v>
      </c>
      <c r="BK24" t="s">
        <v>857</v>
      </c>
      <c r="BL24" t="s">
        <v>860</v>
      </c>
      <c r="BM24" t="s">
        <v>19</v>
      </c>
      <c r="BN24" t="s">
        <v>861</v>
      </c>
      <c r="BO24" t="s">
        <v>19</v>
      </c>
      <c r="BP24" t="s">
        <v>19</v>
      </c>
      <c r="BQ24" t="s">
        <v>19</v>
      </c>
      <c r="BR24" t="s">
        <v>19</v>
      </c>
      <c r="BS24" t="s">
        <v>19</v>
      </c>
      <c r="BT24" t="s">
        <v>19</v>
      </c>
      <c r="BU24" t="s">
        <v>862</v>
      </c>
      <c r="BV24" t="s">
        <v>863</v>
      </c>
      <c r="BW24" t="s">
        <v>864</v>
      </c>
      <c r="BX24" t="s">
        <v>82</v>
      </c>
      <c r="BY24" t="s">
        <v>865</v>
      </c>
      <c r="BZ24" t="s">
        <v>86</v>
      </c>
      <c r="CA24" t="s">
        <v>866</v>
      </c>
      <c r="CB24" t="s">
        <v>867</v>
      </c>
      <c r="CC24" t="s">
        <v>868</v>
      </c>
      <c r="CD24" t="s">
        <v>19</v>
      </c>
      <c r="CE24" t="s">
        <v>869</v>
      </c>
      <c r="CF24" t="s">
        <v>870</v>
      </c>
      <c r="CG24" t="s">
        <v>871</v>
      </c>
      <c r="CH24" t="s">
        <v>19</v>
      </c>
      <c r="CI24" t="s">
        <v>19</v>
      </c>
      <c r="CJ24" t="s">
        <v>424</v>
      </c>
      <c r="CK24" t="s">
        <v>316</v>
      </c>
      <c r="CL24" t="s">
        <v>19</v>
      </c>
      <c r="CM24" t="s">
        <v>19</v>
      </c>
      <c r="CN24" t="s">
        <v>19</v>
      </c>
      <c r="CO24" t="s">
        <v>19</v>
      </c>
      <c r="CP24" t="s">
        <v>19</v>
      </c>
      <c r="CQ24" t="s">
        <v>19</v>
      </c>
      <c r="CR24" t="s">
        <v>19</v>
      </c>
      <c r="CS24" t="s">
        <v>279</v>
      </c>
      <c r="CT24" t="s">
        <v>280</v>
      </c>
      <c r="CU24" t="s">
        <v>387</v>
      </c>
      <c r="CV24" t="s">
        <v>453</v>
      </c>
      <c r="CW24" t="s">
        <v>281</v>
      </c>
      <c r="CX24" t="s">
        <v>154</v>
      </c>
      <c r="CY24" t="s">
        <v>282</v>
      </c>
      <c r="CZ24" t="s">
        <v>813</v>
      </c>
      <c r="DA24" t="s">
        <v>872</v>
      </c>
      <c r="DB24" t="s">
        <v>299</v>
      </c>
      <c r="DC24" t="s">
        <v>19</v>
      </c>
      <c r="DD24" t="s">
        <v>511</v>
      </c>
      <c r="DE24" t="s">
        <v>873</v>
      </c>
      <c r="DF24" t="s">
        <v>287</v>
      </c>
      <c r="DG24" t="s">
        <v>288</v>
      </c>
      <c r="DH24" t="s">
        <v>19</v>
      </c>
      <c r="DI24" t="s">
        <v>874</v>
      </c>
      <c r="DJ24" t="s">
        <v>156</v>
      </c>
      <c r="DK24" t="s">
        <v>875</v>
      </c>
    </row>
    <row r="25" spans="1:115">
      <c r="A25" s="35" t="s">
        <v>7</v>
      </c>
      <c r="B25" t="s">
        <v>876</v>
      </c>
      <c r="C25" t="s">
        <v>877</v>
      </c>
      <c r="D25" t="s">
        <v>878</v>
      </c>
      <c r="E25" t="s">
        <v>457</v>
      </c>
      <c r="F25" t="s">
        <v>879</v>
      </c>
      <c r="G25" t="s">
        <v>19</v>
      </c>
      <c r="H25" t="s">
        <v>19</v>
      </c>
      <c r="I25" t="s">
        <v>459</v>
      </c>
      <c r="J25" t="s">
        <v>880</v>
      </c>
      <c r="K25" t="s">
        <v>19</v>
      </c>
      <c r="L25" t="s">
        <v>19</v>
      </c>
      <c r="M25" t="s">
        <v>28</v>
      </c>
      <c r="N25" t="s">
        <v>30</v>
      </c>
      <c r="O25" t="s">
        <v>881</v>
      </c>
      <c r="P25" t="s">
        <v>416</v>
      </c>
      <c r="Q25" t="s">
        <v>416</v>
      </c>
      <c r="R25" t="s">
        <v>346</v>
      </c>
      <c r="S25" t="s">
        <v>461</v>
      </c>
      <c r="T25" t="s">
        <v>882</v>
      </c>
      <c r="U25" t="s">
        <v>883</v>
      </c>
      <c r="V25" t="s">
        <v>19</v>
      </c>
      <c r="W25" t="s">
        <v>19</v>
      </c>
      <c r="X25" t="s">
        <v>19</v>
      </c>
      <c r="Y25" t="s">
        <v>19</v>
      </c>
      <c r="Z25" t="s">
        <v>19</v>
      </c>
      <c r="AA25" t="s">
        <v>19</v>
      </c>
      <c r="AB25" t="s">
        <v>19</v>
      </c>
      <c r="AC25" t="s">
        <v>19</v>
      </c>
      <c r="AD25" t="s">
        <v>19</v>
      </c>
      <c r="AE25" t="s">
        <v>19</v>
      </c>
      <c r="AF25" t="s">
        <v>884</v>
      </c>
      <c r="AG25" t="s">
        <v>19</v>
      </c>
      <c r="AH25" t="s">
        <v>19</v>
      </c>
      <c r="AI25" t="s">
        <v>885</v>
      </c>
      <c r="AJ25" t="s">
        <v>19</v>
      </c>
      <c r="AK25" t="s">
        <v>631</v>
      </c>
      <c r="AL25" t="s">
        <v>19</v>
      </c>
      <c r="AM25" t="s">
        <v>19</v>
      </c>
      <c r="AN25" t="s">
        <v>886</v>
      </c>
      <c r="AO25" t="s">
        <v>793</v>
      </c>
      <c r="AP25" t="s">
        <v>507</v>
      </c>
      <c r="AQ25" t="s">
        <v>794</v>
      </c>
      <c r="AR25" t="s">
        <v>86</v>
      </c>
      <c r="AS25" t="s">
        <v>887</v>
      </c>
      <c r="AT25" t="s">
        <v>796</v>
      </c>
      <c r="AU25" t="s">
        <v>19</v>
      </c>
      <c r="AV25" t="s">
        <v>19</v>
      </c>
      <c r="AW25" t="s">
        <v>884</v>
      </c>
      <c r="AX25" t="s">
        <v>19</v>
      </c>
      <c r="AY25" t="s">
        <v>19</v>
      </c>
      <c r="AZ25" t="s">
        <v>885</v>
      </c>
      <c r="BA25" t="s">
        <v>19</v>
      </c>
      <c r="BB25" t="s">
        <v>631</v>
      </c>
      <c r="BC25" t="s">
        <v>19</v>
      </c>
      <c r="BD25" t="s">
        <v>19</v>
      </c>
      <c r="BE25" t="s">
        <v>886</v>
      </c>
      <c r="BF25" t="s">
        <v>793</v>
      </c>
      <c r="BG25" t="s">
        <v>507</v>
      </c>
      <c r="BH25" t="s">
        <v>794</v>
      </c>
      <c r="BI25" t="s">
        <v>86</v>
      </c>
      <c r="BJ25" t="s">
        <v>887</v>
      </c>
      <c r="BK25" t="s">
        <v>796</v>
      </c>
      <c r="BL25" t="s">
        <v>19</v>
      </c>
      <c r="BM25" t="s">
        <v>19</v>
      </c>
      <c r="BN25" t="s">
        <v>19</v>
      </c>
      <c r="BO25" t="s">
        <v>19</v>
      </c>
      <c r="BP25" t="s">
        <v>19</v>
      </c>
      <c r="BQ25" t="s">
        <v>19</v>
      </c>
      <c r="BR25" t="s">
        <v>19</v>
      </c>
      <c r="BS25" t="s">
        <v>19</v>
      </c>
      <c r="BT25" t="s">
        <v>19</v>
      </c>
      <c r="BU25" t="s">
        <v>19</v>
      </c>
      <c r="BV25" t="s">
        <v>19</v>
      </c>
      <c r="BW25" t="s">
        <v>19</v>
      </c>
      <c r="BX25" t="s">
        <v>19</v>
      </c>
      <c r="BY25" t="s">
        <v>19</v>
      </c>
      <c r="BZ25" t="s">
        <v>19</v>
      </c>
      <c r="CA25" t="s">
        <v>19</v>
      </c>
      <c r="CB25" t="s">
        <v>19</v>
      </c>
      <c r="CC25" t="s">
        <v>888</v>
      </c>
      <c r="CD25" t="s">
        <v>19</v>
      </c>
      <c r="CE25" t="s">
        <v>19</v>
      </c>
      <c r="CF25" t="s">
        <v>19</v>
      </c>
      <c r="CG25" t="s">
        <v>19</v>
      </c>
      <c r="CH25" t="s">
        <v>19</v>
      </c>
      <c r="CI25" t="s">
        <v>19</v>
      </c>
      <c r="CJ25" t="s">
        <v>424</v>
      </c>
      <c r="CK25" t="s">
        <v>316</v>
      </c>
      <c r="CL25" t="s">
        <v>19</v>
      </c>
      <c r="CM25" t="s">
        <v>19</v>
      </c>
      <c r="CN25" t="s">
        <v>19</v>
      </c>
      <c r="CO25" t="s">
        <v>19</v>
      </c>
      <c r="CP25" t="s">
        <v>19</v>
      </c>
      <c r="CQ25" t="s">
        <v>19</v>
      </c>
      <c r="CR25" t="s">
        <v>19</v>
      </c>
      <c r="CS25" t="s">
        <v>279</v>
      </c>
      <c r="CT25" t="s">
        <v>280</v>
      </c>
      <c r="CU25" t="s">
        <v>889</v>
      </c>
      <c r="CV25" t="s">
        <v>453</v>
      </c>
      <c r="CW25" t="s">
        <v>281</v>
      </c>
      <c r="CX25" t="s">
        <v>154</v>
      </c>
      <c r="CY25" t="s">
        <v>282</v>
      </c>
      <c r="CZ25" t="s">
        <v>813</v>
      </c>
      <c r="DA25" t="s">
        <v>890</v>
      </c>
      <c r="DB25" t="s">
        <v>299</v>
      </c>
      <c r="DC25" t="s">
        <v>19</v>
      </c>
      <c r="DD25" t="s">
        <v>511</v>
      </c>
      <c r="DE25" t="s">
        <v>891</v>
      </c>
      <c r="DF25" t="s">
        <v>287</v>
      </c>
      <c r="DG25" t="s">
        <v>288</v>
      </c>
      <c r="DH25" t="s">
        <v>19</v>
      </c>
      <c r="DI25" t="s">
        <v>892</v>
      </c>
      <c r="DJ25" t="s">
        <v>156</v>
      </c>
      <c r="DK25" t="s">
        <v>19</v>
      </c>
    </row>
    <row r="26" spans="1:115">
      <c r="A26" s="35" t="s">
        <v>7</v>
      </c>
      <c r="B26" t="s">
        <v>893</v>
      </c>
      <c r="C26" t="s">
        <v>894</v>
      </c>
      <c r="D26" t="s">
        <v>895</v>
      </c>
      <c r="E26" t="s">
        <v>15</v>
      </c>
      <c r="F26" t="s">
        <v>896</v>
      </c>
      <c r="G26" t="s">
        <v>19</v>
      </c>
      <c r="H26" t="s">
        <v>19</v>
      </c>
      <c r="I26" t="s">
        <v>22</v>
      </c>
      <c r="J26" t="s">
        <v>897</v>
      </c>
      <c r="K26" t="s">
        <v>19</v>
      </c>
      <c r="L26" t="s">
        <v>19</v>
      </c>
      <c r="M26" t="s">
        <v>28</v>
      </c>
      <c r="N26" t="s">
        <v>30</v>
      </c>
      <c r="O26" t="s">
        <v>898</v>
      </c>
      <c r="P26" t="s">
        <v>416</v>
      </c>
      <c r="Q26" t="s">
        <v>416</v>
      </c>
      <c r="R26" t="s">
        <v>38</v>
      </c>
      <c r="S26" t="s">
        <v>40</v>
      </c>
      <c r="T26" t="s">
        <v>19</v>
      </c>
      <c r="U26" t="s">
        <v>19</v>
      </c>
      <c r="V26" t="s">
        <v>19</v>
      </c>
      <c r="W26" t="s">
        <v>19</v>
      </c>
      <c r="X26" t="s">
        <v>19</v>
      </c>
      <c r="Y26" t="s">
        <v>19</v>
      </c>
      <c r="Z26" t="s">
        <v>19</v>
      </c>
      <c r="AA26" t="s">
        <v>19</v>
      </c>
      <c r="AB26" t="s">
        <v>19</v>
      </c>
      <c r="AC26" t="s">
        <v>19</v>
      </c>
      <c r="AD26" t="s">
        <v>19</v>
      </c>
      <c r="AE26" t="s">
        <v>19</v>
      </c>
      <c r="AF26" t="s">
        <v>899</v>
      </c>
      <c r="AG26" t="s">
        <v>28</v>
      </c>
      <c r="AH26" t="s">
        <v>19</v>
      </c>
      <c r="AI26" t="s">
        <v>19</v>
      </c>
      <c r="AJ26" t="s">
        <v>19</v>
      </c>
      <c r="AK26" t="s">
        <v>19</v>
      </c>
      <c r="AL26" t="s">
        <v>19</v>
      </c>
      <c r="AM26" t="s">
        <v>900</v>
      </c>
      <c r="AN26" t="s">
        <v>901</v>
      </c>
      <c r="AO26" t="s">
        <v>902</v>
      </c>
      <c r="AP26" t="s">
        <v>507</v>
      </c>
      <c r="AQ26" t="s">
        <v>903</v>
      </c>
      <c r="AR26" t="s">
        <v>86</v>
      </c>
      <c r="AS26" t="s">
        <v>904</v>
      </c>
      <c r="AT26" t="s">
        <v>905</v>
      </c>
      <c r="AU26" t="s">
        <v>19</v>
      </c>
      <c r="AV26" t="s">
        <v>19</v>
      </c>
      <c r="AW26" t="s">
        <v>19</v>
      </c>
      <c r="AX26" t="s">
        <v>19</v>
      </c>
      <c r="AY26" t="s">
        <v>19</v>
      </c>
      <c r="AZ26" t="s">
        <v>19</v>
      </c>
      <c r="BA26" t="s">
        <v>19</v>
      </c>
      <c r="BB26" t="s">
        <v>19</v>
      </c>
      <c r="BC26" t="s">
        <v>19</v>
      </c>
      <c r="BD26" t="s">
        <v>19</v>
      </c>
      <c r="BE26" t="s">
        <v>19</v>
      </c>
      <c r="BF26" t="s">
        <v>19</v>
      </c>
      <c r="BG26" t="s">
        <v>19</v>
      </c>
      <c r="BH26" t="s">
        <v>903</v>
      </c>
      <c r="BI26" t="s">
        <v>19</v>
      </c>
      <c r="BJ26" t="s">
        <v>906</v>
      </c>
      <c r="BK26" t="s">
        <v>19</v>
      </c>
      <c r="BL26" t="s">
        <v>19</v>
      </c>
      <c r="BM26" t="s">
        <v>19</v>
      </c>
      <c r="BN26" t="s">
        <v>19</v>
      </c>
      <c r="BO26" t="s">
        <v>19</v>
      </c>
      <c r="BP26" t="s">
        <v>19</v>
      </c>
      <c r="BQ26" t="s">
        <v>19</v>
      </c>
      <c r="BR26" t="s">
        <v>19</v>
      </c>
      <c r="BS26" t="s">
        <v>19</v>
      </c>
      <c r="BT26" t="s">
        <v>19</v>
      </c>
      <c r="BU26" t="s">
        <v>19</v>
      </c>
      <c r="BV26" t="s">
        <v>19</v>
      </c>
      <c r="BW26" t="s">
        <v>19</v>
      </c>
      <c r="BX26" t="s">
        <v>19</v>
      </c>
      <c r="BY26" t="s">
        <v>19</v>
      </c>
      <c r="BZ26" t="s">
        <v>19</v>
      </c>
      <c r="CA26" t="s">
        <v>19</v>
      </c>
      <c r="CB26" t="s">
        <v>19</v>
      </c>
      <c r="CC26" t="s">
        <v>907</v>
      </c>
      <c r="CD26" t="s">
        <v>19</v>
      </c>
      <c r="CE26" t="s">
        <v>19</v>
      </c>
      <c r="CF26" t="s">
        <v>19</v>
      </c>
      <c r="CG26" t="s">
        <v>19</v>
      </c>
      <c r="CH26" t="s">
        <v>19</v>
      </c>
      <c r="CI26" t="s">
        <v>19</v>
      </c>
      <c r="CJ26" t="s">
        <v>424</v>
      </c>
      <c r="CK26" t="s">
        <v>316</v>
      </c>
      <c r="CL26" t="s">
        <v>19</v>
      </c>
      <c r="CM26" t="s">
        <v>19</v>
      </c>
      <c r="CN26" t="s">
        <v>19</v>
      </c>
      <c r="CO26" t="s">
        <v>19</v>
      </c>
      <c r="CP26" t="s">
        <v>19</v>
      </c>
      <c r="CQ26" t="s">
        <v>19</v>
      </c>
      <c r="CR26" t="s">
        <v>19</v>
      </c>
      <c r="CS26" t="s">
        <v>279</v>
      </c>
      <c r="CT26" t="s">
        <v>280</v>
      </c>
      <c r="CU26" t="s">
        <v>328</v>
      </c>
      <c r="CV26" t="s">
        <v>453</v>
      </c>
      <c r="CW26" t="s">
        <v>281</v>
      </c>
      <c r="CX26" t="s">
        <v>154</v>
      </c>
      <c r="CY26" t="s">
        <v>282</v>
      </c>
      <c r="CZ26" t="s">
        <v>813</v>
      </c>
      <c r="DA26" t="s">
        <v>908</v>
      </c>
      <c r="DB26" t="s">
        <v>299</v>
      </c>
      <c r="DC26" t="s">
        <v>19</v>
      </c>
      <c r="DD26" t="s">
        <v>439</v>
      </c>
      <c r="DE26" t="s">
        <v>909</v>
      </c>
      <c r="DF26" t="s">
        <v>287</v>
      </c>
      <c r="DG26" t="s">
        <v>484</v>
      </c>
      <c r="DH26" t="s">
        <v>19</v>
      </c>
      <c r="DI26" t="s">
        <v>910</v>
      </c>
      <c r="DJ26" t="s">
        <v>19</v>
      </c>
      <c r="DK26" t="s">
        <v>19</v>
      </c>
    </row>
    <row r="27" spans="1:115">
      <c r="A27" s="35" t="s">
        <v>7</v>
      </c>
      <c r="B27" t="s">
        <v>911</v>
      </c>
      <c r="C27" t="s">
        <v>912</v>
      </c>
      <c r="D27" t="s">
        <v>913</v>
      </c>
      <c r="E27" t="s">
        <v>15</v>
      </c>
      <c r="F27" t="s">
        <v>914</v>
      </c>
      <c r="G27" t="s">
        <v>19</v>
      </c>
      <c r="H27" t="s">
        <v>19</v>
      </c>
      <c r="I27" t="s">
        <v>22</v>
      </c>
      <c r="J27" t="s">
        <v>915</v>
      </c>
      <c r="K27" t="s">
        <v>19</v>
      </c>
      <c r="L27" t="s">
        <v>19</v>
      </c>
      <c r="M27" t="s">
        <v>28</v>
      </c>
      <c r="N27" t="s">
        <v>30</v>
      </c>
      <c r="O27" t="s">
        <v>916</v>
      </c>
      <c r="P27" t="s">
        <v>416</v>
      </c>
      <c r="Q27" t="s">
        <v>416</v>
      </c>
      <c r="R27" t="s">
        <v>38</v>
      </c>
      <c r="S27" t="s">
        <v>40</v>
      </c>
      <c r="T27" t="s">
        <v>917</v>
      </c>
      <c r="U27" t="s">
        <v>918</v>
      </c>
      <c r="V27" t="s">
        <v>19</v>
      </c>
      <c r="W27" t="s">
        <v>19</v>
      </c>
      <c r="X27" t="s">
        <v>919</v>
      </c>
      <c r="Y27" t="s">
        <v>920</v>
      </c>
      <c r="Z27" t="s">
        <v>921</v>
      </c>
      <c r="AA27" t="s">
        <v>19</v>
      </c>
      <c r="AB27" t="s">
        <v>19</v>
      </c>
      <c r="AC27" t="s">
        <v>19</v>
      </c>
      <c r="AD27" t="s">
        <v>19</v>
      </c>
      <c r="AE27" t="s">
        <v>19</v>
      </c>
      <c r="AF27" t="s">
        <v>922</v>
      </c>
      <c r="AG27" t="s">
        <v>923</v>
      </c>
      <c r="AH27" t="s">
        <v>19</v>
      </c>
      <c r="AI27" t="s">
        <v>19</v>
      </c>
      <c r="AJ27" t="s">
        <v>19</v>
      </c>
      <c r="AK27" t="s">
        <v>19</v>
      </c>
      <c r="AL27" t="s">
        <v>924</v>
      </c>
      <c r="AM27" t="s">
        <v>464</v>
      </c>
      <c r="AN27" t="s">
        <v>925</v>
      </c>
      <c r="AO27" t="s">
        <v>926</v>
      </c>
      <c r="AP27" t="s">
        <v>927</v>
      </c>
      <c r="AQ27" t="s">
        <v>928</v>
      </c>
      <c r="AR27" t="s">
        <v>86</v>
      </c>
      <c r="AS27" t="s">
        <v>929</v>
      </c>
      <c r="AT27" t="s">
        <v>930</v>
      </c>
      <c r="AU27" t="s">
        <v>19</v>
      </c>
      <c r="AV27" t="s">
        <v>19</v>
      </c>
      <c r="AW27" t="s">
        <v>922</v>
      </c>
      <c r="AX27" t="s">
        <v>923</v>
      </c>
      <c r="AY27" t="s">
        <v>931</v>
      </c>
      <c r="AZ27" t="s">
        <v>19</v>
      </c>
      <c r="BA27" t="s">
        <v>19</v>
      </c>
      <c r="BB27" t="s">
        <v>19</v>
      </c>
      <c r="BC27" t="s">
        <v>19</v>
      </c>
      <c r="BD27" t="s">
        <v>19</v>
      </c>
      <c r="BE27" t="s">
        <v>925</v>
      </c>
      <c r="BF27" t="s">
        <v>926</v>
      </c>
      <c r="BG27" t="s">
        <v>927</v>
      </c>
      <c r="BH27" t="s">
        <v>928</v>
      </c>
      <c r="BI27" t="s">
        <v>86</v>
      </c>
      <c r="BJ27" t="s">
        <v>932</v>
      </c>
      <c r="BK27" t="s">
        <v>933</v>
      </c>
      <c r="BL27" t="s">
        <v>19</v>
      </c>
      <c r="BM27" t="s">
        <v>19</v>
      </c>
      <c r="BN27" t="s">
        <v>19</v>
      </c>
      <c r="BO27" t="s">
        <v>19</v>
      </c>
      <c r="BP27" t="s">
        <v>19</v>
      </c>
      <c r="BQ27" t="s">
        <v>19</v>
      </c>
      <c r="BR27" t="s">
        <v>19</v>
      </c>
      <c r="BS27" t="s">
        <v>19</v>
      </c>
      <c r="BT27" t="s">
        <v>19</v>
      </c>
      <c r="BU27" t="s">
        <v>19</v>
      </c>
      <c r="BV27" t="s">
        <v>19</v>
      </c>
      <c r="BW27" t="s">
        <v>19</v>
      </c>
      <c r="BX27" t="s">
        <v>19</v>
      </c>
      <c r="BY27" t="s">
        <v>19</v>
      </c>
      <c r="BZ27" t="s">
        <v>19</v>
      </c>
      <c r="CA27" t="s">
        <v>19</v>
      </c>
      <c r="CB27" t="s">
        <v>19</v>
      </c>
      <c r="CC27" t="s">
        <v>934</v>
      </c>
      <c r="CD27" t="s">
        <v>19</v>
      </c>
      <c r="CE27" t="s">
        <v>19</v>
      </c>
      <c r="CF27" t="s">
        <v>19</v>
      </c>
      <c r="CG27" t="s">
        <v>935</v>
      </c>
      <c r="CH27" t="s">
        <v>19</v>
      </c>
      <c r="CI27" t="s">
        <v>19</v>
      </c>
      <c r="CJ27" t="s">
        <v>424</v>
      </c>
      <c r="CK27" t="s">
        <v>316</v>
      </c>
      <c r="CL27" t="s">
        <v>19</v>
      </c>
      <c r="CM27" t="s">
        <v>19</v>
      </c>
      <c r="CN27" t="s">
        <v>19</v>
      </c>
      <c r="CO27" t="s">
        <v>19</v>
      </c>
      <c r="CP27" t="s">
        <v>19</v>
      </c>
      <c r="CQ27" t="s">
        <v>19</v>
      </c>
      <c r="CR27" t="s">
        <v>19</v>
      </c>
      <c r="CS27" t="s">
        <v>279</v>
      </c>
      <c r="CT27" t="s">
        <v>280</v>
      </c>
      <c r="CU27" t="s">
        <v>387</v>
      </c>
      <c r="CV27" t="s">
        <v>453</v>
      </c>
      <c r="CW27" t="s">
        <v>281</v>
      </c>
      <c r="CX27" t="s">
        <v>154</v>
      </c>
      <c r="CY27" t="s">
        <v>282</v>
      </c>
      <c r="CZ27" t="s">
        <v>813</v>
      </c>
      <c r="DA27" t="s">
        <v>936</v>
      </c>
      <c r="DB27" t="s">
        <v>299</v>
      </c>
      <c r="DC27" t="s">
        <v>19</v>
      </c>
      <c r="DD27" t="s">
        <v>511</v>
      </c>
      <c r="DE27" t="s">
        <v>937</v>
      </c>
      <c r="DF27" t="s">
        <v>287</v>
      </c>
      <c r="DG27" t="s">
        <v>288</v>
      </c>
      <c r="DH27" t="s">
        <v>19</v>
      </c>
      <c r="DI27" t="s">
        <v>938</v>
      </c>
      <c r="DJ27" t="s">
        <v>440</v>
      </c>
      <c r="DK27" t="s">
        <v>939</v>
      </c>
    </row>
    <row r="28" spans="1:115">
      <c r="A28" s="35" t="s">
        <v>7</v>
      </c>
      <c r="B28" t="s">
        <v>940</v>
      </c>
      <c r="C28" t="s">
        <v>512</v>
      </c>
      <c r="D28" t="s">
        <v>513</v>
      </c>
      <c r="E28" t="s">
        <v>15</v>
      </c>
      <c r="F28" t="s">
        <v>514</v>
      </c>
      <c r="G28" t="s">
        <v>19</v>
      </c>
      <c r="H28" t="s">
        <v>19</v>
      </c>
      <c r="I28" t="s">
        <v>22</v>
      </c>
      <c r="J28" t="s">
        <v>515</v>
      </c>
      <c r="K28" t="s">
        <v>19</v>
      </c>
      <c r="L28" t="s">
        <v>19</v>
      </c>
      <c r="M28" t="s">
        <v>28</v>
      </c>
      <c r="N28" t="s">
        <v>30</v>
      </c>
      <c r="O28" t="s">
        <v>391</v>
      </c>
      <c r="P28" t="s">
        <v>416</v>
      </c>
      <c r="Q28" t="s">
        <v>416</v>
      </c>
      <c r="R28" t="s">
        <v>38</v>
      </c>
      <c r="S28" t="s">
        <v>40</v>
      </c>
      <c r="T28" t="s">
        <v>392</v>
      </c>
      <c r="U28" t="s">
        <v>516</v>
      </c>
      <c r="V28" t="s">
        <v>19</v>
      </c>
      <c r="W28" t="s">
        <v>19</v>
      </c>
      <c r="X28" t="s">
        <v>19</v>
      </c>
      <c r="Y28" t="s">
        <v>19</v>
      </c>
      <c r="Z28" t="s">
        <v>19</v>
      </c>
      <c r="AA28" t="s">
        <v>19</v>
      </c>
      <c r="AB28" t="s">
        <v>19</v>
      </c>
      <c r="AC28" t="s">
        <v>19</v>
      </c>
      <c r="AD28" t="s">
        <v>19</v>
      </c>
      <c r="AE28" t="s">
        <v>19</v>
      </c>
      <c r="AF28" t="s">
        <v>393</v>
      </c>
      <c r="AG28" t="s">
        <v>19</v>
      </c>
      <c r="AH28" t="s">
        <v>19</v>
      </c>
      <c r="AI28" t="s">
        <v>19</v>
      </c>
      <c r="AJ28" t="s">
        <v>19</v>
      </c>
      <c r="AK28" t="s">
        <v>19</v>
      </c>
      <c r="AL28" t="s">
        <v>517</v>
      </c>
      <c r="AM28" t="s">
        <v>518</v>
      </c>
      <c r="AN28" t="s">
        <v>519</v>
      </c>
      <c r="AO28" t="s">
        <v>520</v>
      </c>
      <c r="AP28" t="s">
        <v>82</v>
      </c>
      <c r="AQ28" t="s">
        <v>394</v>
      </c>
      <c r="AR28" t="s">
        <v>86</v>
      </c>
      <c r="AS28" t="s">
        <v>395</v>
      </c>
      <c r="AT28" t="s">
        <v>521</v>
      </c>
      <c r="AU28" t="s">
        <v>19</v>
      </c>
      <c r="AV28" t="s">
        <v>19</v>
      </c>
      <c r="AW28" t="s">
        <v>393</v>
      </c>
      <c r="AX28" t="s">
        <v>19</v>
      </c>
      <c r="AY28" t="s">
        <v>19</v>
      </c>
      <c r="AZ28" t="s">
        <v>19</v>
      </c>
      <c r="BA28" t="s">
        <v>19</v>
      </c>
      <c r="BB28" t="s">
        <v>19</v>
      </c>
      <c r="BC28" t="s">
        <v>522</v>
      </c>
      <c r="BD28" t="s">
        <v>518</v>
      </c>
      <c r="BE28" t="s">
        <v>519</v>
      </c>
      <c r="BF28" t="s">
        <v>520</v>
      </c>
      <c r="BG28" t="s">
        <v>82</v>
      </c>
      <c r="BH28" t="s">
        <v>394</v>
      </c>
      <c r="BI28" t="s">
        <v>86</v>
      </c>
      <c r="BJ28" t="s">
        <v>396</v>
      </c>
      <c r="BK28" t="s">
        <v>521</v>
      </c>
      <c r="BL28" t="s">
        <v>523</v>
      </c>
      <c r="BM28" t="s">
        <v>19</v>
      </c>
      <c r="BN28" t="s">
        <v>393</v>
      </c>
      <c r="BO28" t="s">
        <v>19</v>
      </c>
      <c r="BP28" t="s">
        <v>19</v>
      </c>
      <c r="BQ28" t="s">
        <v>19</v>
      </c>
      <c r="BR28" t="s">
        <v>19</v>
      </c>
      <c r="BS28" t="s">
        <v>19</v>
      </c>
      <c r="BT28" t="s">
        <v>517</v>
      </c>
      <c r="BU28" t="s">
        <v>518</v>
      </c>
      <c r="BV28" t="s">
        <v>519</v>
      </c>
      <c r="BW28" t="s">
        <v>520</v>
      </c>
      <c r="BX28" t="s">
        <v>82</v>
      </c>
      <c r="BY28" t="s">
        <v>394</v>
      </c>
      <c r="BZ28" t="s">
        <v>86</v>
      </c>
      <c r="CA28" t="s">
        <v>395</v>
      </c>
      <c r="CB28" t="s">
        <v>521</v>
      </c>
      <c r="CC28" t="s">
        <v>397</v>
      </c>
      <c r="CD28" t="s">
        <v>19</v>
      </c>
      <c r="CE28" t="s">
        <v>398</v>
      </c>
      <c r="CF28" t="s">
        <v>399</v>
      </c>
      <c r="CG28" t="s">
        <v>524</v>
      </c>
      <c r="CH28" t="s">
        <v>19</v>
      </c>
      <c r="CI28" t="s">
        <v>19</v>
      </c>
      <c r="CJ28" t="s">
        <v>424</v>
      </c>
      <c r="CK28" t="s">
        <v>316</v>
      </c>
      <c r="CL28" t="s">
        <v>19</v>
      </c>
      <c r="CM28" t="s">
        <v>19</v>
      </c>
      <c r="CN28" t="s">
        <v>19</v>
      </c>
      <c r="CO28" t="s">
        <v>19</v>
      </c>
      <c r="CP28" t="s">
        <v>19</v>
      </c>
      <c r="CQ28" t="s">
        <v>19</v>
      </c>
      <c r="CR28" t="s">
        <v>19</v>
      </c>
      <c r="CS28" t="s">
        <v>279</v>
      </c>
      <c r="CT28" t="s">
        <v>400</v>
      </c>
      <c r="CU28" t="s">
        <v>401</v>
      </c>
      <c r="CV28" t="s">
        <v>453</v>
      </c>
      <c r="CW28" t="s">
        <v>281</v>
      </c>
      <c r="CX28" t="s">
        <v>154</v>
      </c>
      <c r="CY28" t="s">
        <v>282</v>
      </c>
      <c r="CZ28" t="s">
        <v>813</v>
      </c>
      <c r="DA28" t="s">
        <v>941</v>
      </c>
      <c r="DB28" t="s">
        <v>299</v>
      </c>
      <c r="DC28" t="s">
        <v>19</v>
      </c>
      <c r="DD28" t="s">
        <v>526</v>
      </c>
      <c r="DE28" t="s">
        <v>402</v>
      </c>
      <c r="DF28" t="s">
        <v>287</v>
      </c>
      <c r="DG28" t="s">
        <v>288</v>
      </c>
      <c r="DH28" t="s">
        <v>19</v>
      </c>
      <c r="DI28" t="s">
        <v>942</v>
      </c>
      <c r="DJ28" t="s">
        <v>19</v>
      </c>
      <c r="DK28" t="s">
        <v>19</v>
      </c>
    </row>
    <row r="29" spans="1:115">
      <c r="A29" s="35" t="s">
        <v>7</v>
      </c>
      <c r="B29" t="s">
        <v>943</v>
      </c>
      <c r="C29" t="s">
        <v>944</v>
      </c>
      <c r="D29" t="s">
        <v>945</v>
      </c>
      <c r="E29" t="s">
        <v>15</v>
      </c>
      <c r="F29" t="s">
        <v>946</v>
      </c>
      <c r="G29" t="s">
        <v>19</v>
      </c>
      <c r="H29" t="s">
        <v>19</v>
      </c>
      <c r="I29" t="s">
        <v>22</v>
      </c>
      <c r="J29" t="s">
        <v>947</v>
      </c>
      <c r="K29" t="s">
        <v>19</v>
      </c>
      <c r="L29" t="s">
        <v>19</v>
      </c>
      <c r="M29" t="s">
        <v>360</v>
      </c>
      <c r="N29" t="s">
        <v>30</v>
      </c>
      <c r="O29" t="s">
        <v>948</v>
      </c>
      <c r="P29" t="s">
        <v>416</v>
      </c>
      <c r="Q29" t="s">
        <v>416</v>
      </c>
      <c r="R29" t="s">
        <v>38</v>
      </c>
      <c r="S29" t="s">
        <v>40</v>
      </c>
      <c r="T29" t="s">
        <v>949</v>
      </c>
      <c r="U29" t="s">
        <v>950</v>
      </c>
      <c r="V29" t="s">
        <v>19</v>
      </c>
      <c r="W29" t="s">
        <v>19</v>
      </c>
      <c r="X29" t="s">
        <v>951</v>
      </c>
      <c r="Y29" t="s">
        <v>952</v>
      </c>
      <c r="Z29" t="s">
        <v>953</v>
      </c>
      <c r="AA29" t="s">
        <v>19</v>
      </c>
      <c r="AB29" t="s">
        <v>19</v>
      </c>
      <c r="AC29" t="s">
        <v>19</v>
      </c>
      <c r="AD29" t="s">
        <v>19</v>
      </c>
      <c r="AE29" t="s">
        <v>19</v>
      </c>
      <c r="AF29" t="s">
        <v>954</v>
      </c>
      <c r="AG29" t="s">
        <v>64</v>
      </c>
      <c r="AH29" t="s">
        <v>19</v>
      </c>
      <c r="AI29" t="s">
        <v>19</v>
      </c>
      <c r="AJ29" t="s">
        <v>19</v>
      </c>
      <c r="AK29" t="s">
        <v>19</v>
      </c>
      <c r="AL29" t="s">
        <v>64</v>
      </c>
      <c r="AM29" t="s">
        <v>656</v>
      </c>
      <c r="AN29" t="s">
        <v>657</v>
      </c>
      <c r="AO29" t="s">
        <v>494</v>
      </c>
      <c r="AP29" t="s">
        <v>82</v>
      </c>
      <c r="AQ29" t="s">
        <v>349</v>
      </c>
      <c r="AR29" t="s">
        <v>86</v>
      </c>
      <c r="AS29" t="s">
        <v>955</v>
      </c>
      <c r="AT29" t="s">
        <v>956</v>
      </c>
      <c r="AU29" t="s">
        <v>19</v>
      </c>
      <c r="AV29" t="s">
        <v>19</v>
      </c>
      <c r="AW29" t="s">
        <v>954</v>
      </c>
      <c r="AX29" t="s">
        <v>64</v>
      </c>
      <c r="AY29" t="s">
        <v>19</v>
      </c>
      <c r="AZ29" t="s">
        <v>19</v>
      </c>
      <c r="BA29" t="s">
        <v>19</v>
      </c>
      <c r="BB29" t="s">
        <v>19</v>
      </c>
      <c r="BC29" t="s">
        <v>64</v>
      </c>
      <c r="BD29" t="s">
        <v>656</v>
      </c>
      <c r="BE29" t="s">
        <v>657</v>
      </c>
      <c r="BF29" t="s">
        <v>494</v>
      </c>
      <c r="BG29" t="s">
        <v>82</v>
      </c>
      <c r="BH29" t="s">
        <v>349</v>
      </c>
      <c r="BI29" t="s">
        <v>86</v>
      </c>
      <c r="BJ29" t="s">
        <v>955</v>
      </c>
      <c r="BK29" t="s">
        <v>956</v>
      </c>
      <c r="BL29" t="s">
        <v>19</v>
      </c>
      <c r="BM29" t="s">
        <v>19</v>
      </c>
      <c r="BN29" t="s">
        <v>19</v>
      </c>
      <c r="BO29" t="s">
        <v>19</v>
      </c>
      <c r="BP29" t="s">
        <v>19</v>
      </c>
      <c r="BQ29" t="s">
        <v>19</v>
      </c>
      <c r="BR29" t="s">
        <v>19</v>
      </c>
      <c r="BS29" t="s">
        <v>19</v>
      </c>
      <c r="BT29" t="s">
        <v>19</v>
      </c>
      <c r="BU29" t="s">
        <v>19</v>
      </c>
      <c r="BV29" t="s">
        <v>19</v>
      </c>
      <c r="BW29" t="s">
        <v>19</v>
      </c>
      <c r="BX29" t="s">
        <v>19</v>
      </c>
      <c r="BY29" t="s">
        <v>19</v>
      </c>
      <c r="BZ29" t="s">
        <v>19</v>
      </c>
      <c r="CA29" t="s">
        <v>19</v>
      </c>
      <c r="CB29" t="s">
        <v>19</v>
      </c>
      <c r="CC29" t="s">
        <v>957</v>
      </c>
      <c r="CD29" t="s">
        <v>19</v>
      </c>
      <c r="CE29" t="s">
        <v>19</v>
      </c>
      <c r="CF29" t="s">
        <v>19</v>
      </c>
      <c r="CG29" t="s">
        <v>19</v>
      </c>
      <c r="CH29" t="s">
        <v>19</v>
      </c>
      <c r="CI29" t="s">
        <v>19</v>
      </c>
      <c r="CJ29" t="s">
        <v>424</v>
      </c>
      <c r="CK29" t="s">
        <v>316</v>
      </c>
      <c r="CL29" t="s">
        <v>19</v>
      </c>
      <c r="CM29" t="s">
        <v>19</v>
      </c>
      <c r="CN29" t="s">
        <v>19</v>
      </c>
      <c r="CO29" t="s">
        <v>19</v>
      </c>
      <c r="CP29" t="s">
        <v>19</v>
      </c>
      <c r="CQ29" t="s">
        <v>19</v>
      </c>
      <c r="CR29" t="s">
        <v>19</v>
      </c>
      <c r="CS29" t="s">
        <v>279</v>
      </c>
      <c r="CT29" t="s">
        <v>280</v>
      </c>
      <c r="CU29" t="s">
        <v>752</v>
      </c>
      <c r="CV29" t="s">
        <v>453</v>
      </c>
      <c r="CW29" t="s">
        <v>281</v>
      </c>
      <c r="CX29" t="s">
        <v>154</v>
      </c>
      <c r="CY29" t="s">
        <v>282</v>
      </c>
      <c r="CZ29" t="s">
        <v>813</v>
      </c>
      <c r="DA29" t="s">
        <v>496</v>
      </c>
      <c r="DB29" t="s">
        <v>958</v>
      </c>
      <c r="DC29" t="s">
        <v>19</v>
      </c>
      <c r="DD29" t="s">
        <v>511</v>
      </c>
      <c r="DE29" t="s">
        <v>959</v>
      </c>
      <c r="DF29" t="s">
        <v>287</v>
      </c>
      <c r="DG29" t="s">
        <v>288</v>
      </c>
      <c r="DH29" t="s">
        <v>19</v>
      </c>
      <c r="DI29" t="s">
        <v>960</v>
      </c>
      <c r="DJ29" t="s">
        <v>440</v>
      </c>
      <c r="DK29" t="s">
        <v>961</v>
      </c>
    </row>
    <row r="30" spans="1:115">
      <c r="A30" s="35" t="s">
        <v>7</v>
      </c>
      <c r="B30" t="s">
        <v>962</v>
      </c>
      <c r="C30" t="s">
        <v>963</v>
      </c>
      <c r="D30" t="s">
        <v>964</v>
      </c>
      <c r="E30" t="s">
        <v>15</v>
      </c>
      <c r="F30" t="s">
        <v>965</v>
      </c>
      <c r="G30" t="s">
        <v>19</v>
      </c>
      <c r="H30" t="s">
        <v>19</v>
      </c>
      <c r="I30" t="s">
        <v>22</v>
      </c>
      <c r="J30" t="s">
        <v>966</v>
      </c>
      <c r="K30" t="s">
        <v>19</v>
      </c>
      <c r="L30" t="s">
        <v>19</v>
      </c>
      <c r="M30" t="s">
        <v>360</v>
      </c>
      <c r="N30" t="s">
        <v>30</v>
      </c>
      <c r="O30" t="s">
        <v>967</v>
      </c>
      <c r="P30" t="s">
        <v>416</v>
      </c>
      <c r="Q30" t="s">
        <v>416</v>
      </c>
      <c r="R30" t="s">
        <v>38</v>
      </c>
      <c r="S30" t="s">
        <v>40</v>
      </c>
      <c r="T30" t="s">
        <v>949</v>
      </c>
      <c r="U30" t="s">
        <v>950</v>
      </c>
      <c r="V30" t="s">
        <v>19</v>
      </c>
      <c r="W30" t="s">
        <v>19</v>
      </c>
      <c r="X30" t="s">
        <v>19</v>
      </c>
      <c r="Y30" t="s">
        <v>19</v>
      </c>
      <c r="Z30" t="s">
        <v>19</v>
      </c>
      <c r="AA30" t="s">
        <v>19</v>
      </c>
      <c r="AB30" t="s">
        <v>19</v>
      </c>
      <c r="AC30" t="s">
        <v>19</v>
      </c>
      <c r="AD30" t="s">
        <v>968</v>
      </c>
      <c r="AE30" t="s">
        <v>19</v>
      </c>
      <c r="AF30" t="s">
        <v>969</v>
      </c>
      <c r="AG30" t="s">
        <v>19</v>
      </c>
      <c r="AH30" t="s">
        <v>19</v>
      </c>
      <c r="AI30" t="s">
        <v>970</v>
      </c>
      <c r="AJ30" t="s">
        <v>19</v>
      </c>
      <c r="AK30" t="s">
        <v>971</v>
      </c>
      <c r="AL30" t="s">
        <v>19</v>
      </c>
      <c r="AM30" t="s">
        <v>464</v>
      </c>
      <c r="AN30" t="s">
        <v>465</v>
      </c>
      <c r="AO30" t="s">
        <v>466</v>
      </c>
      <c r="AP30" t="s">
        <v>82</v>
      </c>
      <c r="AQ30" t="s">
        <v>349</v>
      </c>
      <c r="AR30" t="s">
        <v>86</v>
      </c>
      <c r="AS30" t="s">
        <v>972</v>
      </c>
      <c r="AT30" t="s">
        <v>973</v>
      </c>
      <c r="AU30" t="s">
        <v>968</v>
      </c>
      <c r="AV30" t="s">
        <v>19</v>
      </c>
      <c r="AW30" t="s">
        <v>969</v>
      </c>
      <c r="AX30" t="s">
        <v>19</v>
      </c>
      <c r="AY30" t="s">
        <v>19</v>
      </c>
      <c r="AZ30" t="s">
        <v>970</v>
      </c>
      <c r="BA30" t="s">
        <v>19</v>
      </c>
      <c r="BB30" t="s">
        <v>971</v>
      </c>
      <c r="BC30" t="s">
        <v>19</v>
      </c>
      <c r="BD30" t="s">
        <v>464</v>
      </c>
      <c r="BE30" t="s">
        <v>465</v>
      </c>
      <c r="BF30" t="s">
        <v>466</v>
      </c>
      <c r="BG30" t="s">
        <v>82</v>
      </c>
      <c r="BH30" t="s">
        <v>349</v>
      </c>
      <c r="BI30" t="s">
        <v>86</v>
      </c>
      <c r="BJ30" t="s">
        <v>972</v>
      </c>
      <c r="BK30" t="s">
        <v>973</v>
      </c>
      <c r="BL30" t="s">
        <v>968</v>
      </c>
      <c r="BM30" t="s">
        <v>19</v>
      </c>
      <c r="BN30" t="s">
        <v>969</v>
      </c>
      <c r="BO30" t="s">
        <v>19</v>
      </c>
      <c r="BP30" t="s">
        <v>19</v>
      </c>
      <c r="BQ30" t="s">
        <v>970</v>
      </c>
      <c r="BR30" t="s">
        <v>19</v>
      </c>
      <c r="BS30" t="s">
        <v>971</v>
      </c>
      <c r="BT30" t="s">
        <v>19</v>
      </c>
      <c r="BU30" t="s">
        <v>464</v>
      </c>
      <c r="BV30" t="s">
        <v>465</v>
      </c>
      <c r="BW30" t="s">
        <v>466</v>
      </c>
      <c r="BX30" t="s">
        <v>82</v>
      </c>
      <c r="BY30" t="s">
        <v>349</v>
      </c>
      <c r="BZ30" t="s">
        <v>86</v>
      </c>
      <c r="CA30" t="s">
        <v>972</v>
      </c>
      <c r="CB30" t="s">
        <v>973</v>
      </c>
      <c r="CC30" t="s">
        <v>974</v>
      </c>
      <c r="CD30" t="s">
        <v>19</v>
      </c>
      <c r="CE30" t="s">
        <v>975</v>
      </c>
      <c r="CF30" t="s">
        <v>19</v>
      </c>
      <c r="CG30" t="s">
        <v>19</v>
      </c>
      <c r="CH30" t="s">
        <v>19</v>
      </c>
      <c r="CI30" t="s">
        <v>19</v>
      </c>
      <c r="CJ30" t="s">
        <v>424</v>
      </c>
      <c r="CK30" t="s">
        <v>316</v>
      </c>
      <c r="CL30" t="s">
        <v>19</v>
      </c>
      <c r="CM30" t="s">
        <v>19</v>
      </c>
      <c r="CN30" t="s">
        <v>19</v>
      </c>
      <c r="CO30" t="s">
        <v>19</v>
      </c>
      <c r="CP30" t="s">
        <v>19</v>
      </c>
      <c r="CQ30" t="s">
        <v>19</v>
      </c>
      <c r="CR30" t="s">
        <v>19</v>
      </c>
      <c r="CS30" t="s">
        <v>279</v>
      </c>
      <c r="CT30" t="s">
        <v>280</v>
      </c>
      <c r="CU30" t="s">
        <v>412</v>
      </c>
      <c r="CV30" t="s">
        <v>453</v>
      </c>
      <c r="CW30" t="s">
        <v>281</v>
      </c>
      <c r="CX30" t="s">
        <v>154</v>
      </c>
      <c r="CY30" t="s">
        <v>282</v>
      </c>
      <c r="CZ30" t="s">
        <v>813</v>
      </c>
      <c r="DA30" t="s">
        <v>976</v>
      </c>
      <c r="DB30" t="s">
        <v>977</v>
      </c>
      <c r="DC30" t="s">
        <v>19</v>
      </c>
      <c r="DD30" t="s">
        <v>511</v>
      </c>
      <c r="DE30" t="s">
        <v>978</v>
      </c>
      <c r="DF30" t="s">
        <v>287</v>
      </c>
      <c r="DG30" t="s">
        <v>288</v>
      </c>
      <c r="DH30" t="s">
        <v>19</v>
      </c>
      <c r="DI30" t="s">
        <v>979</v>
      </c>
      <c r="DJ30" t="s">
        <v>440</v>
      </c>
      <c r="DK3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Summary</vt:lpstr>
      <vt:lpstr>Extraction Unit Test Case1 </vt:lpstr>
      <vt:lpstr>Extraction Unit Test Case 2</vt:lpstr>
      <vt:lpstr>Extraction Unit Test Case3</vt:lpstr>
      <vt:lpstr>Extraction Unit Test Case4</vt:lpstr>
      <vt:lpstr>Pull Db Dbeaver </vt:lpstr>
      <vt:lpstr>Pull Data File</vt:lpstr>
      <vt:lpstr>'Pull Data File'!v_cis_datafile_1</vt:lpstr>
      <vt:lpstr>'Pull Db Dbeaver '!v_cis_db_4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Prayoonsoontorn, Nattapol</dc:creator>
  <cp:lastModifiedBy>Prayoonsoontorn, Nattapol</cp:lastModifiedBy>
  <dcterms:created xsi:type="dcterms:W3CDTF">2024-05-03T03:41:57Z</dcterms:created>
  <dcterms:modified xsi:type="dcterms:W3CDTF">2024-05-08T14:53:32Z</dcterms:modified>
</cp:coreProperties>
</file>